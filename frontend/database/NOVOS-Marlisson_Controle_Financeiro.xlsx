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G:\Meu Drive\+ Moma Engenharia\1 . Comercial\Projetos Fechados\20250514 - Marlisson\"/>
    </mc:Choice>
  </mc:AlternateContent>
  <xr:revisionPtr revIDLastSave="0" documentId="13_ncr:1_{27CBF530-E024-460E-A732-D040C87E1B4C}" xr6:coauthVersionLast="36" xr6:coauthVersionMax="36" xr10:uidLastSave="{00000000-0000-0000-0000-000000000000}"/>
  <bookViews>
    <workbookView xWindow="0" yWindow="0" windowWidth="46080" windowHeight="21132" activeTab="3" xr2:uid="{00000000-000D-0000-FFFF-FFFF00000000}"/>
  </bookViews>
  <sheets>
    <sheet name="Proposta" sheetId="1" r:id="rId1"/>
    <sheet name="Planejamento" sheetId="2" r:id="rId2"/>
    <sheet name="Piso Vinilico " sheetId="3" r:id="rId3"/>
    <sheet name="Extras" sheetId="4" r:id="rId4"/>
  </sheets>
  <definedNames>
    <definedName name="_xlnm._FilterDatabase" localSheetId="1" hidden="1">Planejamento!$A$2:$A$121</definedName>
    <definedName name="Z_578704EF_7FEB_466F_8696_9E38F7D13393_.wvu.Cols" localSheetId="1">Planejamento!$M:$IM</definedName>
    <definedName name="Z_578704EF_7FEB_466F_8696_9E38F7D13393_.wvu.Cols" localSheetId="0">Proposta!$I:$IX</definedName>
    <definedName name="Z_578704EF_7FEB_466F_8696_9E38F7D13393_.wvu.PrintArea" localSheetId="1">Planejamento!$B$2:$H$51</definedName>
    <definedName name="Z_578704EF_7FEB_466F_8696_9E38F7D13393_.wvu.PrintArea" localSheetId="0">Proposta!$A$2:$H$201</definedName>
  </definedNames>
  <calcPr calcId="179021"/>
  <extLst>
    <ext uri="GoogleSheetsCustomDataVersion2">
      <go:sheetsCustomData xmlns:go="http://customooxmlschemas.google.com/" r:id="rId8" roundtripDataChecksum="ms+QvMV0xfvSdQhcc14zkn3Ca1bj9CkSd0JRW345Wu0="/>
    </ext>
  </extLst>
</workbook>
</file>

<file path=xl/calcChain.xml><?xml version="1.0" encoding="utf-8"?>
<calcChain xmlns="http://schemas.openxmlformats.org/spreadsheetml/2006/main">
  <c r="P13" i="3" l="1"/>
  <c r="F20" i="3"/>
  <c r="F22" i="3" s="1"/>
  <c r="P10" i="3"/>
  <c r="P9" i="3"/>
  <c r="F9" i="3"/>
  <c r="P8" i="3"/>
  <c r="F8" i="3"/>
  <c r="F7" i="3"/>
  <c r="P6" i="3"/>
  <c r="P5" i="3"/>
  <c r="P4" i="3"/>
  <c r="P3" i="3"/>
  <c r="P7" i="3" s="1"/>
  <c r="K121" i="2"/>
  <c r="F121" i="2"/>
  <c r="K120" i="2"/>
  <c r="F120" i="2"/>
  <c r="K119" i="2"/>
  <c r="F119" i="2"/>
  <c r="K118" i="2"/>
  <c r="F118" i="2"/>
  <c r="K117" i="2"/>
  <c r="F117" i="2"/>
  <c r="K116" i="2"/>
  <c r="F116" i="2"/>
  <c r="K115" i="2"/>
  <c r="F115" i="2"/>
  <c r="K114" i="2"/>
  <c r="F114" i="2"/>
  <c r="K113" i="2"/>
  <c r="F113" i="2"/>
  <c r="K112" i="2"/>
  <c r="F112" i="2"/>
  <c r="K111" i="2"/>
  <c r="F111" i="2"/>
  <c r="J110" i="2"/>
  <c r="K110" i="2" s="1"/>
  <c r="D110" i="2"/>
  <c r="M109" i="2"/>
  <c r="M110" i="2" s="1"/>
  <c r="M111" i="2" s="1"/>
  <c r="M112" i="2" s="1"/>
  <c r="M113" i="2" s="1"/>
  <c r="M114" i="2" s="1"/>
  <c r="M115" i="2" s="1"/>
  <c r="M116" i="2" s="1"/>
  <c r="M117" i="2" s="1"/>
  <c r="M118" i="2" s="1"/>
  <c r="M119" i="2" s="1"/>
  <c r="M120" i="2" s="1"/>
  <c r="M121" i="2" s="1"/>
  <c r="J109" i="2"/>
  <c r="K109" i="2" s="1"/>
  <c r="F109" i="2"/>
  <c r="D109" i="2"/>
  <c r="S108" i="2"/>
  <c r="M108" i="2"/>
  <c r="K108" i="2"/>
  <c r="J108" i="2"/>
  <c r="D108" i="2"/>
  <c r="F108" i="2" s="1"/>
  <c r="K107" i="2"/>
  <c r="F107" i="2"/>
  <c r="K106" i="2"/>
  <c r="F106" i="2"/>
  <c r="K105" i="2"/>
  <c r="F105" i="2"/>
  <c r="K104" i="2"/>
  <c r="F104" i="2"/>
  <c r="K103" i="2"/>
  <c r="F103" i="2"/>
  <c r="K102" i="2"/>
  <c r="F102" i="2"/>
  <c r="K101" i="2"/>
  <c r="F101" i="2"/>
  <c r="K100" i="2"/>
  <c r="F100" i="2"/>
  <c r="K99" i="2"/>
  <c r="F99" i="2"/>
  <c r="K98" i="2"/>
  <c r="F98" i="2"/>
  <c r="D98" i="2"/>
  <c r="F97" i="2"/>
  <c r="D97" i="2"/>
  <c r="K96" i="2"/>
  <c r="D96" i="2"/>
  <c r="F96" i="2" s="1"/>
  <c r="K95" i="2"/>
  <c r="F95" i="2"/>
  <c r="K94" i="2"/>
  <c r="F94" i="2"/>
  <c r="K93" i="2"/>
  <c r="F93" i="2"/>
  <c r="K92" i="2"/>
  <c r="F92" i="2"/>
  <c r="K91" i="2"/>
  <c r="F91" i="2"/>
  <c r="K90" i="2"/>
  <c r="F90" i="2"/>
  <c r="K89" i="2"/>
  <c r="F89" i="2"/>
  <c r="K88" i="2"/>
  <c r="F88" i="2"/>
  <c r="K87" i="2"/>
  <c r="F87" i="2"/>
  <c r="K86" i="2"/>
  <c r="F86" i="2"/>
  <c r="K85" i="2"/>
  <c r="F85" i="2"/>
  <c r="K84" i="2"/>
  <c r="F84" i="2"/>
  <c r="K83" i="2"/>
  <c r="F83" i="2"/>
  <c r="K82" i="2"/>
  <c r="F82" i="2"/>
  <c r="K81" i="2"/>
  <c r="F81" i="2"/>
  <c r="K80" i="2"/>
  <c r="F80" i="2"/>
  <c r="K79" i="2"/>
  <c r="F79" i="2"/>
  <c r="K78" i="2"/>
  <c r="F78" i="2"/>
  <c r="K77" i="2"/>
  <c r="F77" i="2"/>
  <c r="K76" i="2"/>
  <c r="F76" i="2"/>
  <c r="K75" i="2"/>
  <c r="F75" i="2"/>
  <c r="K74" i="2"/>
  <c r="F74" i="2"/>
  <c r="K73" i="2"/>
  <c r="F73" i="2"/>
  <c r="K72" i="2"/>
  <c r="F72" i="2"/>
  <c r="K71" i="2"/>
  <c r="F71" i="2"/>
  <c r="K70" i="2"/>
  <c r="F70" i="2"/>
  <c r="K69" i="2"/>
  <c r="F69" i="2"/>
  <c r="K68" i="2"/>
  <c r="F68" i="2"/>
  <c r="K67" i="2"/>
  <c r="F67" i="2"/>
  <c r="K66" i="2"/>
  <c r="F66" i="2"/>
  <c r="K65" i="2"/>
  <c r="F65" i="2"/>
  <c r="K64" i="2"/>
  <c r="F64" i="2"/>
  <c r="K63" i="2"/>
  <c r="F63" i="2"/>
  <c r="K62" i="2"/>
  <c r="F62" i="2"/>
  <c r="K61" i="2"/>
  <c r="F61" i="2"/>
  <c r="K60" i="2"/>
  <c r="F60" i="2"/>
  <c r="K59" i="2"/>
  <c r="F59" i="2"/>
  <c r="K58" i="2"/>
  <c r="F58" i="2"/>
  <c r="K57" i="2"/>
  <c r="F57" i="2"/>
  <c r="K56" i="2"/>
  <c r="F56" i="2"/>
  <c r="K55" i="2"/>
  <c r="F55" i="2"/>
  <c r="K54" i="2"/>
  <c r="F54" i="2"/>
  <c r="K53" i="2"/>
  <c r="F53" i="2"/>
  <c r="K52" i="2"/>
  <c r="F52" i="2"/>
  <c r="K51" i="2"/>
  <c r="F51" i="2"/>
  <c r="K50" i="2"/>
  <c r="F50" i="2"/>
  <c r="K49" i="2"/>
  <c r="F49" i="2"/>
  <c r="K48" i="2"/>
  <c r="F48" i="2"/>
  <c r="K47" i="2"/>
  <c r="F47" i="2"/>
  <c r="K46" i="2"/>
  <c r="F46" i="2"/>
  <c r="K45" i="2"/>
  <c r="F45" i="2"/>
  <c r="K44" i="2"/>
  <c r="F44" i="2"/>
  <c r="K43" i="2"/>
  <c r="F43" i="2"/>
  <c r="K42" i="2"/>
  <c r="F42" i="2"/>
  <c r="K41" i="2"/>
  <c r="F41" i="2"/>
  <c r="K40" i="2"/>
  <c r="F40" i="2"/>
  <c r="K39" i="2"/>
  <c r="F39" i="2"/>
  <c r="K38" i="2"/>
  <c r="F38" i="2"/>
  <c r="K37" i="2"/>
  <c r="F37" i="2"/>
  <c r="K36" i="2"/>
  <c r="F36" i="2"/>
  <c r="K35" i="2"/>
  <c r="F35" i="2"/>
  <c r="K34" i="2"/>
  <c r="F34" i="2"/>
  <c r="K33" i="2"/>
  <c r="F33" i="2"/>
  <c r="K32" i="2"/>
  <c r="F32" i="2"/>
  <c r="K31" i="2"/>
  <c r="F31" i="2"/>
  <c r="K30" i="2"/>
  <c r="F30" i="2"/>
  <c r="K29" i="2"/>
  <c r="F29" i="2"/>
  <c r="K28" i="2"/>
  <c r="F28" i="2"/>
  <c r="K27" i="2"/>
  <c r="F27" i="2"/>
  <c r="K26" i="2"/>
  <c r="F26" i="2"/>
  <c r="K25" i="2"/>
  <c r="F25" i="2"/>
  <c r="K24" i="2"/>
  <c r="F24" i="2"/>
  <c r="K23" i="2"/>
  <c r="F23" i="2"/>
  <c r="K22" i="2"/>
  <c r="F22" i="2"/>
  <c r="K21" i="2"/>
  <c r="F21" i="2"/>
  <c r="K20" i="2"/>
  <c r="F20" i="2"/>
  <c r="K19" i="2"/>
  <c r="F19" i="2"/>
  <c r="K18" i="2"/>
  <c r="F18" i="2"/>
  <c r="K17" i="2"/>
  <c r="F17" i="2"/>
  <c r="K16" i="2"/>
  <c r="F16" i="2"/>
  <c r="K15" i="2"/>
  <c r="F15" i="2"/>
  <c r="K14" i="2"/>
  <c r="F14" i="2"/>
  <c r="K13" i="2"/>
  <c r="F13" i="2"/>
  <c r="K12" i="2"/>
  <c r="F12" i="2"/>
  <c r="K11" i="2"/>
  <c r="F11" i="2"/>
  <c r="K10" i="2"/>
  <c r="F10" i="2"/>
  <c r="K9" i="2"/>
  <c r="F9" i="2"/>
  <c r="K8" i="2"/>
  <c r="F8" i="2"/>
  <c r="K7" i="2"/>
  <c r="F7" i="2"/>
  <c r="K6" i="2"/>
  <c r="F6" i="2"/>
  <c r="M5" i="2"/>
  <c r="M6" i="2" s="1"/>
  <c r="M7" i="2" s="1"/>
  <c r="M8" i="2" s="1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M38" i="2" s="1"/>
  <c r="M39" i="2" s="1"/>
  <c r="M40" i="2" s="1"/>
  <c r="M41" i="2" s="1"/>
  <c r="M42" i="2" s="1"/>
  <c r="M43" i="2" s="1"/>
  <c r="M44" i="2" s="1"/>
  <c r="M45" i="2" s="1"/>
  <c r="M46" i="2" s="1"/>
  <c r="M47" i="2" s="1"/>
  <c r="M48" i="2" s="1"/>
  <c r="M49" i="2" s="1"/>
  <c r="M50" i="2" s="1"/>
  <c r="M51" i="2" s="1"/>
  <c r="M52" i="2" s="1"/>
  <c r="M53" i="2" s="1"/>
  <c r="M54" i="2" s="1"/>
  <c r="M55" i="2" s="1"/>
  <c r="M56" i="2" s="1"/>
  <c r="M57" i="2" s="1"/>
  <c r="M58" i="2" s="1"/>
  <c r="M59" i="2" s="1"/>
  <c r="M60" i="2" s="1"/>
  <c r="M61" i="2" s="1"/>
  <c r="M62" i="2" s="1"/>
  <c r="M63" i="2" s="1"/>
  <c r="M64" i="2" s="1"/>
  <c r="M65" i="2" s="1"/>
  <c r="M66" i="2" s="1"/>
  <c r="M67" i="2" s="1"/>
  <c r="M68" i="2" s="1"/>
  <c r="M69" i="2" s="1"/>
  <c r="M70" i="2" s="1"/>
  <c r="M71" i="2" s="1"/>
  <c r="M72" i="2" s="1"/>
  <c r="M73" i="2" s="1"/>
  <c r="M74" i="2" s="1"/>
  <c r="M75" i="2" s="1"/>
  <c r="M76" i="2" s="1"/>
  <c r="M77" i="2" s="1"/>
  <c r="M78" i="2" s="1"/>
  <c r="M79" i="2" s="1"/>
  <c r="M80" i="2" s="1"/>
  <c r="M81" i="2" s="1"/>
  <c r="M82" i="2" s="1"/>
  <c r="M83" i="2" s="1"/>
  <c r="M84" i="2" s="1"/>
  <c r="M85" i="2" s="1"/>
  <c r="M86" i="2" s="1"/>
  <c r="M87" i="2" s="1"/>
  <c r="M88" i="2" s="1"/>
  <c r="M89" i="2" s="1"/>
  <c r="M90" i="2" s="1"/>
  <c r="M91" i="2" s="1"/>
  <c r="M92" i="2" s="1"/>
  <c r="M93" i="2" s="1"/>
  <c r="M94" i="2" s="1"/>
  <c r="M95" i="2" s="1"/>
  <c r="M96" i="2" s="1"/>
  <c r="M97" i="2" s="1"/>
  <c r="M98" i="2" s="1"/>
  <c r="M99" i="2" s="1"/>
  <c r="M100" i="2" s="1"/>
  <c r="M101" i="2" s="1"/>
  <c r="M102" i="2" s="1"/>
  <c r="M103" i="2" s="1"/>
  <c r="M104" i="2" s="1"/>
  <c r="M105" i="2" s="1"/>
  <c r="M106" i="2" s="1"/>
  <c r="K5" i="2"/>
  <c r="F5" i="2"/>
  <c r="M4" i="2"/>
  <c r="K4" i="2"/>
  <c r="F4" i="2"/>
  <c r="K3" i="2"/>
  <c r="G3" i="2"/>
  <c r="G4" i="2" s="1"/>
  <c r="F3" i="2"/>
  <c r="F196" i="1"/>
  <c r="E196" i="1"/>
  <c r="B196" i="1"/>
  <c r="F190" i="1"/>
  <c r="E190" i="1"/>
  <c r="B190" i="1"/>
  <c r="F189" i="1"/>
  <c r="E189" i="1"/>
  <c r="B189" i="1"/>
  <c r="F188" i="1"/>
  <c r="E188" i="1"/>
  <c r="B188" i="1"/>
  <c r="F187" i="1"/>
  <c r="E187" i="1"/>
  <c r="B187" i="1"/>
  <c r="F186" i="1"/>
  <c r="E186" i="1"/>
  <c r="B186" i="1"/>
  <c r="F185" i="1"/>
  <c r="E185" i="1"/>
  <c r="B185" i="1"/>
  <c r="F184" i="1"/>
  <c r="E184" i="1"/>
  <c r="B184" i="1"/>
  <c r="F183" i="1"/>
  <c r="E183" i="1"/>
  <c r="B183" i="1"/>
  <c r="F182" i="1"/>
  <c r="E182" i="1"/>
  <c r="B182" i="1"/>
  <c r="F181" i="1"/>
  <c r="E181" i="1"/>
  <c r="B181" i="1"/>
  <c r="E180" i="1"/>
  <c r="B180" i="1"/>
  <c r="F179" i="1"/>
  <c r="E179" i="1"/>
  <c r="B179" i="1"/>
  <c r="F178" i="1"/>
  <c r="E178" i="1"/>
  <c r="B178" i="1"/>
  <c r="F177" i="1"/>
  <c r="E177" i="1"/>
  <c r="B177" i="1"/>
  <c r="F171" i="1"/>
  <c r="E171" i="1"/>
  <c r="B171" i="1"/>
  <c r="F170" i="1"/>
  <c r="E170" i="1"/>
  <c r="B170" i="1"/>
  <c r="F169" i="1"/>
  <c r="E169" i="1"/>
  <c r="B169" i="1"/>
  <c r="F168" i="1"/>
  <c r="E168" i="1"/>
  <c r="B168" i="1"/>
  <c r="F162" i="1"/>
  <c r="E162" i="1"/>
  <c r="B162" i="1"/>
  <c r="F161" i="1"/>
  <c r="E161" i="1"/>
  <c r="B161" i="1"/>
  <c r="F160" i="1"/>
  <c r="E160" i="1"/>
  <c r="B160" i="1"/>
  <c r="F159" i="1"/>
  <c r="E159" i="1"/>
  <c r="B159" i="1"/>
  <c r="F158" i="1"/>
  <c r="E158" i="1"/>
  <c r="B158" i="1"/>
  <c r="F157" i="1"/>
  <c r="E157" i="1"/>
  <c r="B157" i="1"/>
  <c r="F151" i="1"/>
  <c r="E151" i="1"/>
  <c r="B151" i="1"/>
  <c r="F150" i="1"/>
  <c r="E150" i="1"/>
  <c r="B150" i="1"/>
  <c r="F149" i="1"/>
  <c r="E149" i="1"/>
  <c r="B149" i="1"/>
  <c r="F148" i="1"/>
  <c r="E148" i="1"/>
  <c r="B148" i="1"/>
  <c r="F147" i="1"/>
  <c r="E147" i="1"/>
  <c r="B147" i="1"/>
  <c r="F146" i="1"/>
  <c r="E146" i="1"/>
  <c r="B146" i="1"/>
  <c r="F145" i="1"/>
  <c r="E145" i="1"/>
  <c r="B145" i="1"/>
  <c r="F144" i="1"/>
  <c r="E144" i="1"/>
  <c r="B144" i="1"/>
  <c r="F143" i="1"/>
  <c r="E143" i="1"/>
  <c r="B143" i="1"/>
  <c r="F142" i="1"/>
  <c r="E142" i="1"/>
  <c r="B142" i="1"/>
  <c r="F141" i="1"/>
  <c r="E141" i="1"/>
  <c r="B141" i="1"/>
  <c r="F140" i="1"/>
  <c r="E140" i="1"/>
  <c r="B140" i="1"/>
  <c r="F139" i="1"/>
  <c r="E139" i="1"/>
  <c r="B139" i="1"/>
  <c r="F133" i="1"/>
  <c r="E133" i="1"/>
  <c r="B133" i="1"/>
  <c r="F132" i="1"/>
  <c r="E132" i="1"/>
  <c r="B132" i="1"/>
  <c r="F131" i="1"/>
  <c r="E131" i="1"/>
  <c r="B131" i="1"/>
  <c r="F130" i="1"/>
  <c r="E130" i="1"/>
  <c r="B130" i="1"/>
  <c r="F129" i="1"/>
  <c r="E129" i="1"/>
  <c r="B129" i="1"/>
  <c r="F128" i="1"/>
  <c r="E128" i="1"/>
  <c r="B128" i="1"/>
  <c r="F127" i="1"/>
  <c r="E127" i="1"/>
  <c r="B127" i="1"/>
  <c r="F126" i="1"/>
  <c r="E126" i="1"/>
  <c r="B126" i="1"/>
  <c r="F125" i="1"/>
  <c r="E125" i="1"/>
  <c r="B125" i="1"/>
  <c r="F124" i="1"/>
  <c r="E124" i="1"/>
  <c r="B124" i="1"/>
  <c r="F123" i="1"/>
  <c r="E123" i="1"/>
  <c r="B123" i="1"/>
  <c r="F122" i="1"/>
  <c r="E122" i="1"/>
  <c r="B122" i="1"/>
  <c r="F121" i="1"/>
  <c r="E121" i="1"/>
  <c r="B121" i="1"/>
  <c r="F120" i="1"/>
  <c r="E120" i="1"/>
  <c r="B120" i="1"/>
  <c r="F119" i="1"/>
  <c r="E119" i="1"/>
  <c r="B119" i="1"/>
  <c r="F118" i="1"/>
  <c r="E118" i="1"/>
  <c r="B118" i="1"/>
  <c r="F112" i="1"/>
  <c r="E112" i="1"/>
  <c r="B112" i="1"/>
  <c r="F106" i="1"/>
  <c r="E106" i="1"/>
  <c r="B106" i="1"/>
  <c r="F105" i="1"/>
  <c r="E105" i="1"/>
  <c r="B105" i="1"/>
  <c r="F104" i="1"/>
  <c r="E104" i="1"/>
  <c r="B104" i="1"/>
  <c r="F103" i="1"/>
  <c r="E103" i="1"/>
  <c r="B103" i="1"/>
  <c r="F102" i="1"/>
  <c r="E102" i="1"/>
  <c r="B102" i="1"/>
  <c r="F101" i="1"/>
  <c r="E101" i="1"/>
  <c r="B101" i="1"/>
  <c r="F100" i="1"/>
  <c r="E100" i="1"/>
  <c r="B100" i="1"/>
  <c r="F99" i="1"/>
  <c r="E99" i="1"/>
  <c r="B99" i="1"/>
  <c r="F98" i="1"/>
  <c r="E98" i="1"/>
  <c r="B98" i="1"/>
  <c r="F97" i="1"/>
  <c r="E97" i="1"/>
  <c r="B97" i="1"/>
  <c r="F91" i="1"/>
  <c r="E91" i="1"/>
  <c r="B91" i="1"/>
  <c r="F90" i="1"/>
  <c r="E90" i="1"/>
  <c r="B90" i="1"/>
  <c r="F89" i="1"/>
  <c r="E89" i="1"/>
  <c r="B89" i="1"/>
  <c r="F88" i="1"/>
  <c r="E88" i="1"/>
  <c r="B88" i="1"/>
  <c r="F87" i="1"/>
  <c r="E87" i="1"/>
  <c r="B87" i="1"/>
  <c r="F86" i="1"/>
  <c r="E86" i="1"/>
  <c r="B86" i="1"/>
  <c r="F85" i="1"/>
  <c r="E85" i="1"/>
  <c r="B85" i="1"/>
  <c r="F84" i="1"/>
  <c r="E84" i="1"/>
  <c r="B84" i="1"/>
  <c r="F83" i="1"/>
  <c r="E83" i="1"/>
  <c r="B83" i="1"/>
  <c r="F77" i="1"/>
  <c r="E77" i="1"/>
  <c r="B77" i="1"/>
  <c r="F76" i="1"/>
  <c r="E76" i="1"/>
  <c r="B76" i="1"/>
  <c r="F75" i="1"/>
  <c r="E75" i="1"/>
  <c r="B75" i="1"/>
  <c r="F74" i="1"/>
  <c r="E74" i="1"/>
  <c r="B74" i="1"/>
  <c r="F73" i="1"/>
  <c r="E73" i="1"/>
  <c r="B73" i="1"/>
  <c r="F72" i="1"/>
  <c r="E72" i="1"/>
  <c r="B72" i="1"/>
  <c r="F71" i="1"/>
  <c r="E71" i="1"/>
  <c r="B71" i="1"/>
  <c r="F70" i="1"/>
  <c r="E70" i="1"/>
  <c r="B70" i="1"/>
  <c r="F69" i="1"/>
  <c r="E69" i="1"/>
  <c r="B69" i="1"/>
  <c r="F68" i="1"/>
  <c r="E68" i="1"/>
  <c r="B68" i="1"/>
  <c r="F67" i="1"/>
  <c r="E67" i="1"/>
  <c r="B67" i="1"/>
  <c r="F66" i="1"/>
  <c r="E66" i="1"/>
  <c r="B66" i="1"/>
  <c r="F65" i="1"/>
  <c r="E65" i="1"/>
  <c r="B65" i="1"/>
  <c r="F64" i="1"/>
  <c r="E64" i="1"/>
  <c r="B64" i="1"/>
  <c r="F63" i="1"/>
  <c r="E63" i="1"/>
  <c r="B63" i="1"/>
  <c r="F62" i="1"/>
  <c r="E62" i="1"/>
  <c r="B62" i="1"/>
  <c r="F61" i="1"/>
  <c r="E61" i="1"/>
  <c r="B61" i="1"/>
  <c r="F60" i="1"/>
  <c r="E60" i="1"/>
  <c r="B60" i="1"/>
  <c r="F54" i="1"/>
  <c r="E54" i="1"/>
  <c r="B54" i="1"/>
  <c r="F53" i="1"/>
  <c r="E53" i="1"/>
  <c r="B53" i="1"/>
  <c r="F52" i="1"/>
  <c r="E52" i="1"/>
  <c r="B52" i="1"/>
  <c r="F51" i="1"/>
  <c r="E51" i="1"/>
  <c r="B51" i="1"/>
  <c r="F45" i="1"/>
  <c r="E45" i="1"/>
  <c r="B45" i="1"/>
  <c r="F44" i="1"/>
  <c r="E44" i="1"/>
  <c r="B44" i="1"/>
  <c r="F43" i="1"/>
  <c r="E43" i="1"/>
  <c r="B43" i="1"/>
  <c r="F42" i="1"/>
  <c r="E42" i="1"/>
  <c r="B42" i="1"/>
  <c r="F41" i="1"/>
  <c r="E41" i="1"/>
  <c r="B41" i="1"/>
  <c r="F40" i="1"/>
  <c r="E40" i="1"/>
  <c r="B40" i="1"/>
  <c r="F39" i="1"/>
  <c r="E39" i="1"/>
  <c r="B39" i="1"/>
  <c r="F38" i="1"/>
  <c r="E38" i="1"/>
  <c r="B38" i="1"/>
  <c r="F37" i="1"/>
  <c r="E37" i="1"/>
  <c r="B37" i="1"/>
  <c r="F36" i="1"/>
  <c r="E36" i="1"/>
  <c r="B36" i="1"/>
  <c r="F35" i="1"/>
  <c r="E35" i="1"/>
  <c r="B35" i="1"/>
  <c r="F34" i="1"/>
  <c r="E34" i="1"/>
  <c r="B34" i="1"/>
  <c r="F33" i="1"/>
  <c r="E33" i="1"/>
  <c r="B33" i="1"/>
  <c r="F32" i="1"/>
  <c r="E32" i="1"/>
  <c r="B32" i="1"/>
  <c r="F26" i="1"/>
  <c r="E26" i="1"/>
  <c r="B26" i="1"/>
  <c r="F25" i="1"/>
  <c r="E25" i="1"/>
  <c r="B25" i="1"/>
  <c r="F24" i="1"/>
  <c r="E24" i="1"/>
  <c r="B24" i="1"/>
  <c r="F23" i="1"/>
  <c r="E23" i="1"/>
  <c r="B23" i="1"/>
  <c r="F22" i="1"/>
  <c r="E22" i="1"/>
  <c r="B22" i="1"/>
  <c r="F16" i="1"/>
  <c r="E16" i="1"/>
  <c r="B16" i="1"/>
  <c r="F15" i="1"/>
  <c r="E15" i="1"/>
  <c r="B15" i="1"/>
  <c r="F14" i="1"/>
  <c r="E14" i="1"/>
  <c r="B14" i="1"/>
  <c r="F12" i="1"/>
  <c r="E12" i="1"/>
  <c r="B12" i="1"/>
  <c r="G2" i="1"/>
  <c r="H3" i="2" l="1"/>
  <c r="N3" i="2" s="1"/>
  <c r="G5" i="2"/>
  <c r="H4" i="2"/>
  <c r="N4" i="2" s="1"/>
  <c r="F180" i="1"/>
  <c r="F110" i="2"/>
  <c r="P12" i="3"/>
  <c r="F10" i="3"/>
  <c r="F12" i="3" s="1"/>
  <c r="I12" i="3" s="1"/>
  <c r="L4" i="2" l="1"/>
  <c r="H14" i="1"/>
  <c r="G6" i="2"/>
  <c r="H5" i="2"/>
  <c r="N5" i="2" s="1"/>
  <c r="F123" i="2"/>
  <c r="L3" i="2"/>
  <c r="H12" i="1"/>
  <c r="F125" i="2" l="1"/>
  <c r="H124" i="2" s="1"/>
  <c r="L5" i="2"/>
  <c r="H15" i="1"/>
  <c r="G7" i="2"/>
  <c r="H6" i="2"/>
  <c r="N6" i="2" s="1"/>
  <c r="O4" i="2"/>
  <c r="J124" i="2" l="1"/>
  <c r="K124" i="2" s="1"/>
  <c r="G8" i="2"/>
  <c r="H7" i="2"/>
  <c r="N7" i="2" s="1"/>
  <c r="H16" i="1"/>
  <c r="H8" i="1" s="1"/>
  <c r="L6" i="2"/>
  <c r="H22" i="1" l="1"/>
  <c r="L7" i="2"/>
  <c r="G9" i="2"/>
  <c r="H8" i="2"/>
  <c r="N8" i="2" s="1"/>
  <c r="G10" i="2" l="1"/>
  <c r="H9" i="2"/>
  <c r="N9" i="2" s="1"/>
  <c r="L8" i="2"/>
  <c r="H23" i="1"/>
  <c r="L9" i="2" l="1"/>
  <c r="H24" i="1"/>
  <c r="G11" i="2"/>
  <c r="H10" i="2"/>
  <c r="N10" i="2" s="1"/>
  <c r="L10" i="2" l="1"/>
  <c r="H25" i="1"/>
  <c r="G12" i="2"/>
  <c r="H11" i="2"/>
  <c r="N11" i="2" s="1"/>
  <c r="L11" i="2" l="1"/>
  <c r="O11" i="2" s="1"/>
  <c r="H26" i="1"/>
  <c r="H18" i="1" s="1"/>
  <c r="G13" i="2"/>
  <c r="H12" i="2"/>
  <c r="N12" i="2" s="1"/>
  <c r="L12" i="2" l="1"/>
  <c r="H32" i="1"/>
  <c r="G14" i="2"/>
  <c r="H13" i="2"/>
  <c r="N13" i="2" s="1"/>
  <c r="H33" i="1" l="1"/>
  <c r="L13" i="2"/>
  <c r="G15" i="2"/>
  <c r="H14" i="2"/>
  <c r="N14" i="2" s="1"/>
  <c r="L14" i="2" l="1"/>
  <c r="H34" i="1"/>
  <c r="G16" i="2"/>
  <c r="H15" i="2"/>
  <c r="N15" i="2" s="1"/>
  <c r="G17" i="2" l="1"/>
  <c r="H16" i="2"/>
  <c r="N16" i="2" s="1"/>
  <c r="H35" i="1"/>
  <c r="L15" i="2"/>
  <c r="O15" i="2" s="1"/>
  <c r="L16" i="2" l="1"/>
  <c r="H36" i="1"/>
  <c r="G18" i="2"/>
  <c r="H17" i="2"/>
  <c r="N17" i="2" s="1"/>
  <c r="H37" i="1" l="1"/>
  <c r="L17" i="2"/>
  <c r="G19" i="2"/>
  <c r="H18" i="2"/>
  <c r="N18" i="2" s="1"/>
  <c r="L18" i="2" l="1"/>
  <c r="H38" i="1"/>
  <c r="G20" i="2"/>
  <c r="H19" i="2"/>
  <c r="N19" i="2" s="1"/>
  <c r="L19" i="2" l="1"/>
  <c r="H39" i="1"/>
  <c r="G21" i="2"/>
  <c r="H20" i="2"/>
  <c r="N20" i="2" s="1"/>
  <c r="G22" i="2" l="1"/>
  <c r="H21" i="2"/>
  <c r="N21" i="2" s="1"/>
  <c r="H40" i="1"/>
  <c r="L20" i="2"/>
  <c r="O20" i="2" s="1"/>
  <c r="H41" i="1" l="1"/>
  <c r="L21" i="2"/>
  <c r="G23" i="2"/>
  <c r="H22" i="2"/>
  <c r="N22" i="2" s="1"/>
  <c r="H42" i="1" l="1"/>
  <c r="L22" i="2"/>
  <c r="G24" i="2"/>
  <c r="H23" i="2"/>
  <c r="N23" i="2" s="1"/>
  <c r="H43" i="1" l="1"/>
  <c r="L23" i="2"/>
  <c r="G25" i="2"/>
  <c r="H24" i="2"/>
  <c r="N24" i="2" s="1"/>
  <c r="L24" i="2" l="1"/>
  <c r="O24" i="2" s="1"/>
  <c r="H44" i="1"/>
  <c r="G26" i="2"/>
  <c r="H25" i="2"/>
  <c r="N25" i="2" s="1"/>
  <c r="L25" i="2" l="1"/>
  <c r="H45" i="1"/>
  <c r="H28" i="1" s="1"/>
  <c r="G27" i="2"/>
  <c r="H26" i="2"/>
  <c r="N26" i="2" s="1"/>
  <c r="L26" i="2" l="1"/>
  <c r="O26" i="2" s="1"/>
  <c r="H51" i="1"/>
  <c r="G28" i="2"/>
  <c r="H27" i="2"/>
  <c r="N27" i="2" s="1"/>
  <c r="H52" i="1" l="1"/>
  <c r="L27" i="2"/>
  <c r="G29" i="2"/>
  <c r="H28" i="2"/>
  <c r="N28" i="2" s="1"/>
  <c r="G30" i="2" l="1"/>
  <c r="H29" i="2"/>
  <c r="N29" i="2" s="1"/>
  <c r="L28" i="2"/>
  <c r="O28" i="2" s="1"/>
  <c r="H53" i="1"/>
  <c r="H54" i="1" l="1"/>
  <c r="H47" i="1" s="1"/>
  <c r="L29" i="2"/>
  <c r="O29" i="2" s="1"/>
  <c r="G31" i="2"/>
  <c r="H30" i="2"/>
  <c r="N30" i="2" s="1"/>
  <c r="L30" i="2" l="1"/>
  <c r="H60" i="1"/>
  <c r="G32" i="2"/>
  <c r="H31" i="2"/>
  <c r="N31" i="2" s="1"/>
  <c r="L31" i="2" l="1"/>
  <c r="H61" i="1"/>
  <c r="G33" i="2"/>
  <c r="H32" i="2"/>
  <c r="N32" i="2" s="1"/>
  <c r="L32" i="2" l="1"/>
  <c r="H62" i="1"/>
  <c r="G34" i="2"/>
  <c r="H33" i="2"/>
  <c r="N33" i="2" s="1"/>
  <c r="H63" i="1" l="1"/>
  <c r="L33" i="2"/>
  <c r="G35" i="2"/>
  <c r="H34" i="2"/>
  <c r="N34" i="2" s="1"/>
  <c r="L34" i="2" l="1"/>
  <c r="H64" i="1"/>
  <c r="G36" i="2"/>
  <c r="H35" i="2"/>
  <c r="N35" i="2" s="1"/>
  <c r="H65" i="1" l="1"/>
  <c r="L35" i="2"/>
  <c r="G37" i="2"/>
  <c r="H36" i="2"/>
  <c r="N36" i="2" s="1"/>
  <c r="L36" i="2" l="1"/>
  <c r="H66" i="1"/>
  <c r="G38" i="2"/>
  <c r="H37" i="2"/>
  <c r="N37" i="2" s="1"/>
  <c r="H67" i="1" l="1"/>
  <c r="L37" i="2"/>
  <c r="G39" i="2"/>
  <c r="H38" i="2"/>
  <c r="N38" i="2" s="1"/>
  <c r="H68" i="1" l="1"/>
  <c r="L38" i="2"/>
  <c r="G40" i="2"/>
  <c r="H39" i="2"/>
  <c r="N39" i="2" s="1"/>
  <c r="L39" i="2" l="1"/>
  <c r="H69" i="1"/>
  <c r="G41" i="2"/>
  <c r="H40" i="2"/>
  <c r="N40" i="2" s="1"/>
  <c r="L40" i="2" l="1"/>
  <c r="H70" i="1"/>
  <c r="G42" i="2"/>
  <c r="H41" i="2"/>
  <c r="N41" i="2" s="1"/>
  <c r="H71" i="1" l="1"/>
  <c r="L41" i="2"/>
  <c r="G43" i="2"/>
  <c r="H42" i="2"/>
  <c r="N42" i="2" s="1"/>
  <c r="L42" i="2" l="1"/>
  <c r="O42" i="2" s="1"/>
  <c r="H72" i="1"/>
  <c r="G44" i="2"/>
  <c r="H43" i="2"/>
  <c r="N43" i="2" s="1"/>
  <c r="H73" i="1" l="1"/>
  <c r="L43" i="2"/>
  <c r="O43" i="2" s="1"/>
  <c r="G45" i="2"/>
  <c r="H44" i="2"/>
  <c r="N44" i="2" s="1"/>
  <c r="L44" i="2" l="1"/>
  <c r="H74" i="1"/>
  <c r="G46" i="2"/>
  <c r="H45" i="2"/>
  <c r="N45" i="2" s="1"/>
  <c r="G47" i="2" l="1"/>
  <c r="H46" i="2"/>
  <c r="N46" i="2" s="1"/>
  <c r="H75" i="1"/>
  <c r="L45" i="2"/>
  <c r="L46" i="2" l="1"/>
  <c r="H76" i="1"/>
  <c r="G48" i="2"/>
  <c r="H47" i="2"/>
  <c r="N47" i="2" s="1"/>
  <c r="G49" i="2" l="1"/>
  <c r="H48" i="2"/>
  <c r="N48" i="2" s="1"/>
  <c r="H77" i="1"/>
  <c r="H56" i="1" s="1"/>
  <c r="L47" i="2"/>
  <c r="O47" i="2" s="1"/>
  <c r="L48" i="2" l="1"/>
  <c r="H83" i="1"/>
  <c r="G50" i="2"/>
  <c r="H49" i="2"/>
  <c r="N49" i="2" s="1"/>
  <c r="H84" i="1" l="1"/>
  <c r="L49" i="2"/>
  <c r="G51" i="2"/>
  <c r="H50" i="2"/>
  <c r="N50" i="2" s="1"/>
  <c r="L50" i="2" l="1"/>
  <c r="H85" i="1"/>
  <c r="G52" i="2"/>
  <c r="H51" i="2"/>
  <c r="N51" i="2" s="1"/>
  <c r="L51" i="2" l="1"/>
  <c r="H86" i="1"/>
  <c r="H52" i="2"/>
  <c r="N52" i="2" s="1"/>
  <c r="G53" i="2"/>
  <c r="G54" i="2" l="1"/>
  <c r="H53" i="2"/>
  <c r="N53" i="2" s="1"/>
  <c r="L52" i="2"/>
  <c r="H87" i="1"/>
  <c r="L53" i="2" l="1"/>
  <c r="H88" i="1"/>
  <c r="G55" i="2"/>
  <c r="H54" i="2"/>
  <c r="N54" i="2" s="1"/>
  <c r="L54" i="2" l="1"/>
  <c r="H89" i="1"/>
  <c r="G56" i="2"/>
  <c r="H55" i="2"/>
  <c r="N55" i="2" s="1"/>
  <c r="L55" i="2" l="1"/>
  <c r="H90" i="1"/>
  <c r="G57" i="2"/>
  <c r="H56" i="2"/>
  <c r="N56" i="2" s="1"/>
  <c r="L56" i="2" l="1"/>
  <c r="H91" i="1"/>
  <c r="H79" i="1" s="1"/>
  <c r="G58" i="2"/>
  <c r="H57" i="2"/>
  <c r="N57" i="2" s="1"/>
  <c r="H97" i="1" l="1"/>
  <c r="L57" i="2"/>
  <c r="G59" i="2"/>
  <c r="H58" i="2"/>
  <c r="N58" i="2" s="1"/>
  <c r="L58" i="2" l="1"/>
  <c r="O58" i="2" s="1"/>
  <c r="H98" i="1"/>
  <c r="G60" i="2"/>
  <c r="H59" i="2"/>
  <c r="N59" i="2" s="1"/>
  <c r="L59" i="2" l="1"/>
  <c r="H99" i="1"/>
  <c r="G61" i="2"/>
  <c r="H60" i="2"/>
  <c r="N60" i="2" s="1"/>
  <c r="L60" i="2" l="1"/>
  <c r="H100" i="1"/>
  <c r="G62" i="2"/>
  <c r="H61" i="2"/>
  <c r="N61" i="2" s="1"/>
  <c r="H101" i="1" l="1"/>
  <c r="L61" i="2"/>
  <c r="G63" i="2"/>
  <c r="H62" i="2"/>
  <c r="N62" i="2" s="1"/>
  <c r="H102" i="1" l="1"/>
  <c r="L62" i="2"/>
  <c r="G64" i="2"/>
  <c r="H63" i="2"/>
  <c r="N63" i="2" s="1"/>
  <c r="H103" i="1" l="1"/>
  <c r="L63" i="2"/>
  <c r="G65" i="2"/>
  <c r="H64" i="2"/>
  <c r="N64" i="2" s="1"/>
  <c r="L64" i="2" l="1"/>
  <c r="H104" i="1"/>
  <c r="G66" i="2"/>
  <c r="H65" i="2"/>
  <c r="N65" i="2" s="1"/>
  <c r="L65" i="2" l="1"/>
  <c r="H105" i="1"/>
  <c r="G67" i="2"/>
  <c r="H66" i="2"/>
  <c r="N66" i="2" s="1"/>
  <c r="G68" i="2" l="1"/>
  <c r="H67" i="2"/>
  <c r="N67" i="2" s="1"/>
  <c r="H106" i="1"/>
  <c r="H93" i="1" s="1"/>
  <c r="L66" i="2"/>
  <c r="L67" i="2" l="1"/>
  <c r="H112" i="1"/>
  <c r="H108" i="1" s="1"/>
  <c r="G69" i="2"/>
  <c r="H68" i="2"/>
  <c r="N68" i="2" s="1"/>
  <c r="L68" i="2" l="1"/>
  <c r="H118" i="1"/>
  <c r="G70" i="2"/>
  <c r="H69" i="2"/>
  <c r="N69" i="2" s="1"/>
  <c r="H119" i="1" l="1"/>
  <c r="L69" i="2"/>
  <c r="G71" i="2"/>
  <c r="H70" i="2"/>
  <c r="N70" i="2" s="1"/>
  <c r="G72" i="2" l="1"/>
  <c r="H71" i="2"/>
  <c r="N71" i="2" s="1"/>
  <c r="L70" i="2"/>
  <c r="H120" i="1"/>
  <c r="G73" i="2" l="1"/>
  <c r="H72" i="2"/>
  <c r="N72" i="2" s="1"/>
  <c r="H121" i="1"/>
  <c r="L71" i="2"/>
  <c r="G74" i="2" l="1"/>
  <c r="H73" i="2"/>
  <c r="N73" i="2" s="1"/>
  <c r="L72" i="2"/>
  <c r="H122" i="1"/>
  <c r="H123" i="1" l="1"/>
  <c r="L73" i="2"/>
  <c r="G75" i="2"/>
  <c r="H74" i="2"/>
  <c r="N74" i="2" s="1"/>
  <c r="G76" i="2" l="1"/>
  <c r="H75" i="2"/>
  <c r="N75" i="2" s="1"/>
  <c r="L74" i="2"/>
  <c r="H124" i="1"/>
  <c r="L75" i="2" l="1"/>
  <c r="H125" i="1"/>
  <c r="G77" i="2"/>
  <c r="H76" i="2"/>
  <c r="N76" i="2" s="1"/>
  <c r="G78" i="2" l="1"/>
  <c r="H77" i="2"/>
  <c r="N77" i="2" s="1"/>
  <c r="L76" i="2"/>
  <c r="H126" i="1"/>
  <c r="H127" i="1" l="1"/>
  <c r="L77" i="2"/>
  <c r="G79" i="2"/>
  <c r="H78" i="2"/>
  <c r="N78" i="2" s="1"/>
  <c r="L78" i="2" l="1"/>
  <c r="H128" i="1"/>
  <c r="G80" i="2"/>
  <c r="H79" i="2"/>
  <c r="N79" i="2" s="1"/>
  <c r="H129" i="1" l="1"/>
  <c r="L79" i="2"/>
  <c r="G81" i="2"/>
  <c r="H80" i="2"/>
  <c r="N80" i="2" s="1"/>
  <c r="L80" i="2" l="1"/>
  <c r="H130" i="1"/>
  <c r="G82" i="2"/>
  <c r="H81" i="2"/>
  <c r="N81" i="2" s="1"/>
  <c r="L81" i="2" l="1"/>
  <c r="H131" i="1"/>
  <c r="G83" i="2"/>
  <c r="H82" i="2"/>
  <c r="N82" i="2" s="1"/>
  <c r="L82" i="2" l="1"/>
  <c r="H132" i="1"/>
  <c r="G84" i="2"/>
  <c r="H83" i="2"/>
  <c r="N83" i="2" s="1"/>
  <c r="L83" i="2" l="1"/>
  <c r="H133" i="1"/>
  <c r="H114" i="1" s="1"/>
  <c r="G85" i="2"/>
  <c r="H84" i="2"/>
  <c r="N84" i="2" s="1"/>
  <c r="L84" i="2" l="1"/>
  <c r="H139" i="1"/>
  <c r="G86" i="2"/>
  <c r="H85" i="2"/>
  <c r="N85" i="2" s="1"/>
  <c r="H140" i="1" l="1"/>
  <c r="L85" i="2"/>
  <c r="G87" i="2"/>
  <c r="H86" i="2"/>
  <c r="N86" i="2" s="1"/>
  <c r="L86" i="2" l="1"/>
  <c r="H141" i="1"/>
  <c r="G88" i="2"/>
  <c r="H87" i="2"/>
  <c r="N87" i="2" s="1"/>
  <c r="L87" i="2" l="1"/>
  <c r="H142" i="1"/>
  <c r="G89" i="2"/>
  <c r="H88" i="2"/>
  <c r="N88" i="2" s="1"/>
  <c r="L88" i="2" l="1"/>
  <c r="H143" i="1"/>
  <c r="G90" i="2"/>
  <c r="H89" i="2"/>
  <c r="N89" i="2" s="1"/>
  <c r="G91" i="2" l="1"/>
  <c r="H90" i="2"/>
  <c r="N90" i="2" s="1"/>
  <c r="H144" i="1"/>
  <c r="L89" i="2"/>
  <c r="L90" i="2" l="1"/>
  <c r="H145" i="1"/>
  <c r="G92" i="2"/>
  <c r="H91" i="2"/>
  <c r="N91" i="2" s="1"/>
  <c r="G93" i="2" l="1"/>
  <c r="H92" i="2"/>
  <c r="N92" i="2" s="1"/>
  <c r="L91" i="2"/>
  <c r="H146" i="1"/>
  <c r="L92" i="2" l="1"/>
  <c r="H147" i="1"/>
  <c r="G94" i="2"/>
  <c r="H93" i="2"/>
  <c r="N93" i="2" s="1"/>
  <c r="L93" i="2" l="1"/>
  <c r="H148" i="1"/>
  <c r="G95" i="2"/>
  <c r="H94" i="2"/>
  <c r="N94" i="2" s="1"/>
  <c r="L94" i="2" l="1"/>
  <c r="H149" i="1"/>
  <c r="H95" i="2"/>
  <c r="N95" i="2" s="1"/>
  <c r="G96" i="2"/>
  <c r="G97" i="2" l="1"/>
  <c r="H96" i="2"/>
  <c r="N96" i="2" s="1"/>
  <c r="L95" i="2"/>
  <c r="H150" i="1"/>
  <c r="L96" i="2" l="1"/>
  <c r="O96" i="2" s="1"/>
  <c r="H151" i="1"/>
  <c r="H135" i="1" s="1"/>
  <c r="G98" i="2"/>
  <c r="H97" i="2"/>
  <c r="N97" i="2" s="1"/>
  <c r="H157" i="1" l="1"/>
  <c r="L97" i="2"/>
  <c r="O97" i="2" s="1"/>
  <c r="G99" i="2"/>
  <c r="H98" i="2"/>
  <c r="N98" i="2" s="1"/>
  <c r="H158" i="1" l="1"/>
  <c r="L98" i="2"/>
  <c r="O98" i="2" s="1"/>
  <c r="G100" i="2"/>
  <c r="H99" i="2"/>
  <c r="N99" i="2" s="1"/>
  <c r="L99" i="2" l="1"/>
  <c r="H159" i="1"/>
  <c r="G101" i="2"/>
  <c r="H100" i="2"/>
  <c r="N100" i="2" s="1"/>
  <c r="H160" i="1" l="1"/>
  <c r="L100" i="2"/>
  <c r="G102" i="2"/>
  <c r="H101" i="2"/>
  <c r="N101" i="2" s="1"/>
  <c r="L101" i="2" l="1"/>
  <c r="H161" i="1"/>
  <c r="G103" i="2"/>
  <c r="H102" i="2"/>
  <c r="N102" i="2" s="1"/>
  <c r="H162" i="1" l="1"/>
  <c r="H153" i="1" s="1"/>
  <c r="L102" i="2"/>
  <c r="G104" i="2"/>
  <c r="H103" i="2"/>
  <c r="N103" i="2" s="1"/>
  <c r="L103" i="2" l="1"/>
  <c r="H168" i="1"/>
  <c r="G105" i="2"/>
  <c r="H104" i="2"/>
  <c r="N104" i="2" s="1"/>
  <c r="G106" i="2" l="1"/>
  <c r="H105" i="2"/>
  <c r="N105" i="2" s="1"/>
  <c r="L104" i="2"/>
  <c r="H169" i="1"/>
  <c r="H170" i="1" l="1"/>
  <c r="L105" i="2"/>
  <c r="G107" i="2"/>
  <c r="H106" i="2"/>
  <c r="N106" i="2" s="1"/>
  <c r="H171" i="1" l="1"/>
  <c r="L106" i="2"/>
  <c r="G108" i="2"/>
  <c r="H107" i="2"/>
  <c r="N107" i="2" s="1"/>
  <c r="H164" i="1"/>
  <c r="L107" i="2" l="1"/>
  <c r="H177" i="1"/>
  <c r="G109" i="2"/>
  <c r="H108" i="2"/>
  <c r="N108" i="2" s="1"/>
  <c r="H178" i="1" l="1"/>
  <c r="L108" i="2"/>
  <c r="G110" i="2"/>
  <c r="H109" i="2"/>
  <c r="N109" i="2" s="1"/>
  <c r="L109" i="2" l="1"/>
  <c r="O109" i="2" s="1"/>
  <c r="H179" i="1"/>
  <c r="G111" i="2"/>
  <c r="H110" i="2"/>
  <c r="N110" i="2" s="1"/>
  <c r="O108" i="2"/>
  <c r="G112" i="2" l="1"/>
  <c r="H111" i="2"/>
  <c r="N111" i="2" s="1"/>
  <c r="L110" i="2"/>
  <c r="H180" i="1"/>
  <c r="O110" i="2" l="1"/>
  <c r="T108" i="2"/>
  <c r="G113" i="2"/>
  <c r="H112" i="2"/>
  <c r="N112" i="2" s="1"/>
  <c r="L111" i="2"/>
  <c r="O111" i="2" s="1"/>
  <c r="H181" i="1"/>
  <c r="L112" i="2" l="1"/>
  <c r="H182" i="1"/>
  <c r="G114" i="2"/>
  <c r="H113" i="2"/>
  <c r="N113" i="2" s="1"/>
  <c r="L113" i="2" l="1"/>
  <c r="H183" i="1"/>
  <c r="G115" i="2"/>
  <c r="H114" i="2"/>
  <c r="N114" i="2" s="1"/>
  <c r="O112" i="2"/>
  <c r="L123" i="2"/>
  <c r="L114" i="2" l="1"/>
  <c r="H184" i="1"/>
  <c r="G116" i="2"/>
  <c r="H115" i="2"/>
  <c r="N115" i="2" s="1"/>
  <c r="H185" i="1" l="1"/>
  <c r="L115" i="2"/>
  <c r="G117" i="2"/>
  <c r="H116" i="2"/>
  <c r="N116" i="2" s="1"/>
  <c r="L116" i="2" l="1"/>
  <c r="H186" i="1"/>
  <c r="G118" i="2"/>
  <c r="H117" i="2"/>
  <c r="N117" i="2" s="1"/>
  <c r="L117" i="2" l="1"/>
  <c r="H187" i="1"/>
  <c r="G119" i="2"/>
  <c r="H118" i="2"/>
  <c r="N118" i="2" s="1"/>
  <c r="H188" i="1" l="1"/>
  <c r="L118" i="2"/>
  <c r="G120" i="2"/>
  <c r="H119" i="2"/>
  <c r="N119" i="2" s="1"/>
  <c r="L119" i="2" l="1"/>
  <c r="H189" i="1"/>
  <c r="G121" i="2"/>
  <c r="H121" i="2" s="1"/>
  <c r="N121" i="2" s="1"/>
  <c r="H120" i="2"/>
  <c r="N120" i="2" s="1"/>
  <c r="L120" i="2" l="1"/>
  <c r="H190" i="1"/>
  <c r="H173" i="1" s="1"/>
  <c r="L121" i="2"/>
  <c r="H196" i="1"/>
  <c r="H192" i="1" s="1"/>
  <c r="N123" i="2"/>
  <c r="G199" i="1" l="1"/>
  <c r="F8" i="1" l="1"/>
  <c r="F18" i="1"/>
  <c r="F28" i="1"/>
  <c r="F47" i="1"/>
  <c r="F56" i="1"/>
  <c r="F79" i="1"/>
  <c r="F93" i="1"/>
  <c r="F108" i="1"/>
  <c r="F114" i="1"/>
  <c r="F135" i="1"/>
  <c r="F153" i="1"/>
  <c r="F164" i="1"/>
  <c r="F173" i="1"/>
  <c r="F19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7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======
ID#AAABmunrvT4
William Almeida    (2025-06-26 23:21:03)
uma  visita por semana.
inserir a quantidade de semanas.</t>
        </r>
      </text>
    </comment>
    <comment ref="C10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======
ID#AAABmunrvT8
William Almeida    (2025-06-26 23:21:03)
uma  visita por semana.
inserir a quantidade de semanas.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tcqEg4kb1LVhXhxtjB1XcnQGIgA=="/>
    </ext>
  </extLst>
</comments>
</file>

<file path=xl/sharedStrings.xml><?xml version="1.0" encoding="utf-8"?>
<sst xmlns="http://schemas.openxmlformats.org/spreadsheetml/2006/main" count="485" uniqueCount="216">
  <si>
    <t>4ª Proposta</t>
  </si>
  <si>
    <t>Cliente:</t>
  </si>
  <si>
    <t>Marlisson</t>
  </si>
  <si>
    <t>Proposta:</t>
  </si>
  <si>
    <t xml:space="preserve">DOCUMENTOS E EXIGÊNCIAS LEGAIS  </t>
  </si>
  <si>
    <t>%</t>
  </si>
  <si>
    <t/>
  </si>
  <si>
    <t xml:space="preserve"> m² | ml | unid.</t>
  </si>
  <si>
    <t>quant.</t>
  </si>
  <si>
    <t>STAFF</t>
  </si>
  <si>
    <t xml:space="preserve">SERVIÇOS PRELIMINARES </t>
  </si>
  <si>
    <t>AR CONDICONADO</t>
  </si>
  <si>
    <t xml:space="preserve">ELÉTRICA </t>
  </si>
  <si>
    <t>AUTOMAÇÃO</t>
  </si>
  <si>
    <t xml:space="preserve">HIDROSANITÁRIO </t>
  </si>
  <si>
    <t xml:space="preserve">GÁS </t>
  </si>
  <si>
    <t xml:space="preserve">DRYWALL </t>
  </si>
  <si>
    <t>PAREDES</t>
  </si>
  <si>
    <t xml:space="preserve">PISOS </t>
  </si>
  <si>
    <t xml:space="preserve">PINTURA </t>
  </si>
  <si>
    <t xml:space="preserve">FINALIZAÇÕES </t>
  </si>
  <si>
    <t>LIMPEZA</t>
  </si>
  <si>
    <t>INVESTIMENTO</t>
  </si>
  <si>
    <t xml:space="preserve">Venda </t>
  </si>
  <si>
    <t>Imposto</t>
  </si>
  <si>
    <t xml:space="preserve">Compra </t>
  </si>
  <si>
    <t xml:space="preserve">Categoria  </t>
  </si>
  <si>
    <t xml:space="preserve">Itens _ Descritivos  </t>
  </si>
  <si>
    <t>m² | ml | unid. | hora</t>
  </si>
  <si>
    <t>Quant.</t>
  </si>
  <si>
    <t>Custo</t>
  </si>
  <si>
    <t>Quat.XCusto</t>
  </si>
  <si>
    <t>C/ Imposto</t>
  </si>
  <si>
    <t xml:space="preserve">Custo </t>
  </si>
  <si>
    <t>Total</t>
  </si>
  <si>
    <t xml:space="preserve">Rentabilidade </t>
  </si>
  <si>
    <t xml:space="preserve">valor final </t>
  </si>
  <si>
    <t>Documentação</t>
  </si>
  <si>
    <t xml:space="preserve">Projeto Arquitetonito para Liberação da Obra </t>
  </si>
  <si>
    <t>m²</t>
  </si>
  <si>
    <t>Anotação de Responsabilidade Técnica (RRT)</t>
  </si>
  <si>
    <t>Impressões</t>
  </si>
  <si>
    <t>unidade</t>
  </si>
  <si>
    <t>Seguro de Obra</t>
  </si>
  <si>
    <t>Staff</t>
  </si>
  <si>
    <t>arquiteto</t>
  </si>
  <si>
    <t>hora</t>
  </si>
  <si>
    <t xml:space="preserve">ajudante </t>
  </si>
  <si>
    <t xml:space="preserve">encarregado </t>
  </si>
  <si>
    <t xml:space="preserve">engenheiro </t>
  </si>
  <si>
    <t xml:space="preserve">limpeza recorrente   </t>
  </si>
  <si>
    <t>Demolições</t>
  </si>
  <si>
    <t>saco para entulho*</t>
  </si>
  <si>
    <t xml:space="preserve">demolição de alvenaria </t>
  </si>
  <si>
    <t xml:space="preserve">demolição e remocação de teto drywall </t>
  </si>
  <si>
    <t xml:space="preserve">equipe para retirada de entulho </t>
  </si>
  <si>
    <t>caçamba de entulho*</t>
  </si>
  <si>
    <t xml:space="preserve">remoções </t>
  </si>
  <si>
    <t>remoção de pisos</t>
  </si>
  <si>
    <t xml:space="preserve">remoção de caxilhos e portas </t>
  </si>
  <si>
    <t>remoções de portas e batentes</t>
  </si>
  <si>
    <t xml:space="preserve">Remoções </t>
  </si>
  <si>
    <t xml:space="preserve">remoção de bancada de cozinha </t>
  </si>
  <si>
    <t xml:space="preserve">remoção de tanque </t>
  </si>
  <si>
    <t xml:space="preserve">remoção de bacias sanitárias  </t>
  </si>
  <si>
    <t>remoção de torneira</t>
  </si>
  <si>
    <t xml:space="preserve">remoção de bancada de banheiro </t>
  </si>
  <si>
    <t>armários com descarte</t>
  </si>
  <si>
    <t>Infra Ar</t>
  </si>
  <si>
    <t xml:space="preserve">tubulação para equipamentos de 9 mil a 12 mil btus  </t>
  </si>
  <si>
    <t>ml</t>
  </si>
  <si>
    <t xml:space="preserve">tubulação para equipamentos de 18 mil a 24 mil btus  </t>
  </si>
  <si>
    <t xml:space="preserve">drenos  </t>
  </si>
  <si>
    <t xml:space="preserve">acoplamento dos equipamentos </t>
  </si>
  <si>
    <t>Elétrica</t>
  </si>
  <si>
    <t>alteração de quadro elétrico</t>
  </si>
  <si>
    <t xml:space="preserve">instalação de balizador  </t>
  </si>
  <si>
    <t xml:space="preserve">instalação de fita de led  </t>
  </si>
  <si>
    <t xml:space="preserve">instalação de luminárias especiais </t>
  </si>
  <si>
    <t>instalação de lustre</t>
  </si>
  <si>
    <t>instalação de pendente</t>
  </si>
  <si>
    <t xml:space="preserve">interruptor intermediário </t>
  </si>
  <si>
    <t xml:space="preserve">interruptor paralelo </t>
  </si>
  <si>
    <t xml:space="preserve">interruptor simples  </t>
  </si>
  <si>
    <t xml:space="preserve">ponto de balizador </t>
  </si>
  <si>
    <t xml:space="preserve">ponto de energia para motorização </t>
  </si>
  <si>
    <t xml:space="preserve">furação e recorte para luminárias </t>
  </si>
  <si>
    <t xml:space="preserve">instalação de luminárias </t>
  </si>
  <si>
    <t xml:space="preserve">ponto de iluminação </t>
  </si>
  <si>
    <t>ponto de tomada 110v</t>
  </si>
  <si>
    <t>ponto de tomada 220v</t>
  </si>
  <si>
    <t xml:space="preserve">ponto de tomada 220v circuito independente  </t>
  </si>
  <si>
    <t xml:space="preserve">ponto para led  </t>
  </si>
  <si>
    <t>Automação</t>
  </si>
  <si>
    <t xml:space="preserve">ponto de internet </t>
  </si>
  <si>
    <t xml:space="preserve">ponto de som  </t>
  </si>
  <si>
    <t xml:space="preserve">ponto de wifi  </t>
  </si>
  <si>
    <t xml:space="preserve">pontos de automação </t>
  </si>
  <si>
    <t xml:space="preserve">pontos de automação para audio </t>
  </si>
  <si>
    <t xml:space="preserve">pontos de automação para luminárias </t>
  </si>
  <si>
    <t>pontos de automação para video</t>
  </si>
  <si>
    <t xml:space="preserve">quadro de automação </t>
  </si>
  <si>
    <t xml:space="preserve">retornos para automação  </t>
  </si>
  <si>
    <t>Hidrossanitária</t>
  </si>
  <si>
    <t xml:space="preserve">deslocamento de ponto de água quente ou fria  </t>
  </si>
  <si>
    <t>deslocamento de ponto de esgoto para pia cozinha</t>
  </si>
  <si>
    <t xml:space="preserve">eliminar ponto de água quente ou fria </t>
  </si>
  <si>
    <t xml:space="preserve">eliminar ponto de esgoto </t>
  </si>
  <si>
    <t xml:space="preserve">instalação base para monocomando </t>
  </si>
  <si>
    <t xml:space="preserve">instalação de ralo linear quadrado </t>
  </si>
  <si>
    <t xml:space="preserve">instalação de ralo linear retangular </t>
  </si>
  <si>
    <t>instalação de registros</t>
  </si>
  <si>
    <t xml:space="preserve">novo ponto de água fria ou quente </t>
  </si>
  <si>
    <t>novo ponto de esgoto</t>
  </si>
  <si>
    <t>gás</t>
  </si>
  <si>
    <t xml:space="preserve">ponto de gás </t>
  </si>
  <si>
    <t>Gesso</t>
  </si>
  <si>
    <t xml:space="preserve">colocação de moldura </t>
  </si>
  <si>
    <t xml:space="preserve">cortineiro </t>
  </si>
  <si>
    <t xml:space="preserve">fechamento de buracos </t>
  </si>
  <si>
    <t xml:space="preserve">forro </t>
  </si>
  <si>
    <t xml:space="preserve">gesso  negativo </t>
  </si>
  <si>
    <t>Lã de Rocha Isofibras 2" c/6 unidades</t>
  </si>
  <si>
    <t xml:space="preserve">manta pet para acústica hidrosanitária </t>
  </si>
  <si>
    <t xml:space="preserve">nicho em drywall  </t>
  </si>
  <si>
    <t xml:space="preserve">parede drywall duas faces </t>
  </si>
  <si>
    <t>parede drywall uma face</t>
  </si>
  <si>
    <t xml:space="preserve">parede drywall placa verde duas faces </t>
  </si>
  <si>
    <t>parede drywall placa verde uma face</t>
  </si>
  <si>
    <t xml:space="preserve">rasgo de luz  </t>
  </si>
  <si>
    <t xml:space="preserve">sanca aberta ou invertida </t>
  </si>
  <si>
    <t xml:space="preserve">substituição de placa de drywall </t>
  </si>
  <si>
    <t xml:space="preserve">tabica </t>
  </si>
  <si>
    <t>Paredes</t>
  </si>
  <si>
    <t xml:space="preserve">construção em alvenaria com reboco  </t>
  </si>
  <si>
    <t xml:space="preserve">reboco de alvenaria </t>
  </si>
  <si>
    <t xml:space="preserve">requadro de vão  </t>
  </si>
  <si>
    <t xml:space="preserve">reboco </t>
  </si>
  <si>
    <t>assentamento de porcelanato até 90x90</t>
  </si>
  <si>
    <t>assentamento de porcelanato até 100x100 a 120x120</t>
  </si>
  <si>
    <t xml:space="preserve">instalação de rodapés de porcelanato </t>
  </si>
  <si>
    <t xml:space="preserve">impermeabilização de Paredes </t>
  </si>
  <si>
    <t xml:space="preserve">chumbar batente de porta na alvenaria </t>
  </si>
  <si>
    <t xml:space="preserve">instalação de porta e batente </t>
  </si>
  <si>
    <t xml:space="preserve">abertura em alvenaria para nicho com impermeabilização  </t>
  </si>
  <si>
    <t xml:space="preserve">assentamento de revestimentos mosaicos </t>
  </si>
  <si>
    <t xml:space="preserve">assentamento de revestimentos especiais  </t>
  </si>
  <si>
    <t>Piso</t>
  </si>
  <si>
    <t xml:space="preserve">colocação de piso vinilico com rodapé branco mdf 7 cm </t>
  </si>
  <si>
    <t xml:space="preserve">contrapiso </t>
  </si>
  <si>
    <t>Custo Cubas</t>
  </si>
  <si>
    <t xml:space="preserve">Custo  </t>
  </si>
  <si>
    <t>Rentabilidade</t>
  </si>
  <si>
    <t xml:space="preserve">base de alvenaria  </t>
  </si>
  <si>
    <t xml:space="preserve">impermeabilização de piso </t>
  </si>
  <si>
    <t>Pintura</t>
  </si>
  <si>
    <t>emassar teto</t>
  </si>
  <si>
    <t xml:space="preserve">equipe de pintura para preparação </t>
  </si>
  <si>
    <t>equipe de pintura</t>
  </si>
  <si>
    <t>pintura de porta</t>
  </si>
  <si>
    <t>Finalização</t>
  </si>
  <si>
    <t xml:space="preserve">Envidraçamento de Sacada </t>
  </si>
  <si>
    <t>bancada slim cozinha 1 - cuba pequena inox para tanque</t>
  </si>
  <si>
    <t xml:space="preserve">bancada slim cozinha 2 - cuba pequena inox para pia cozinha </t>
  </si>
  <si>
    <t xml:space="preserve">bancada slim banheiro - com cuba ceramica de apoio </t>
  </si>
  <si>
    <t xml:space="preserve">Box Banheiro 0,90 X 2,10 </t>
  </si>
  <si>
    <t>Espelho Banheiro 0,85 X 1,20</t>
  </si>
  <si>
    <t xml:space="preserve">instalação de chuveiro  </t>
  </si>
  <si>
    <t xml:space="preserve">instalação de ducha  higiênica </t>
  </si>
  <si>
    <t xml:space="preserve">instalação de fechadura eletrônica </t>
  </si>
  <si>
    <t xml:space="preserve">instalação de metais - porta papel higiênico </t>
  </si>
  <si>
    <t xml:space="preserve">instalação de metais - toalheiro </t>
  </si>
  <si>
    <t xml:space="preserve">Instalação de rodapé  </t>
  </si>
  <si>
    <t xml:space="preserve">instalação de torneiras duplo comando  </t>
  </si>
  <si>
    <t>instalação de torneiras monocomando</t>
  </si>
  <si>
    <t>Limpeza</t>
  </si>
  <si>
    <t>Limpeza pós Obra Especializada</t>
  </si>
  <si>
    <t>Unid.</t>
  </si>
  <si>
    <t xml:space="preserve">Quant. </t>
  </si>
  <si>
    <t xml:space="preserve">Caixas </t>
  </si>
  <si>
    <t>Valor</t>
  </si>
  <si>
    <t xml:space="preserve">Total </t>
  </si>
  <si>
    <t xml:space="preserve">Piso Vinilico: </t>
  </si>
  <si>
    <t xml:space="preserve">Angelin Pedra </t>
  </si>
  <si>
    <t>PISO LVT AGIFLOOR VINILICO (3.0 MM) (0,50MM) 3,611 M2 - 8010 ANGELIN PEDRA NEW 18,5 X 122</t>
  </si>
  <si>
    <t>M²</t>
  </si>
  <si>
    <t>ADESIVO AGI 4 KG</t>
  </si>
  <si>
    <t>Kg</t>
  </si>
  <si>
    <t xml:space="preserve">Ambiente </t>
  </si>
  <si>
    <t xml:space="preserve">Medida </t>
  </si>
  <si>
    <t>Cola HOMESTAR Nova Formula 1 kg</t>
  </si>
  <si>
    <t>RODAPE 15 CM 2,16 ML - BRANCO MAX FRISADO</t>
  </si>
  <si>
    <t xml:space="preserve">Sala </t>
  </si>
  <si>
    <t>Dorm 1</t>
  </si>
  <si>
    <t>frete</t>
  </si>
  <si>
    <t>Dorm 2</t>
  </si>
  <si>
    <t>instalação piso</t>
  </si>
  <si>
    <t xml:space="preserve">instalação rodapé </t>
  </si>
  <si>
    <t>Cola Piso</t>
  </si>
  <si>
    <t>R$</t>
  </si>
  <si>
    <t>Cobrar Diferença do Cliente R$ 337,48</t>
  </si>
  <si>
    <t xml:space="preserve">Rodapé: </t>
  </si>
  <si>
    <t xml:space="preserve">branco 15cm </t>
  </si>
  <si>
    <t xml:space="preserve">Medida Linear </t>
  </si>
  <si>
    <t>ML</t>
  </si>
  <si>
    <t xml:space="preserve">Fixadores </t>
  </si>
  <si>
    <t xml:space="preserve">Cola </t>
  </si>
  <si>
    <t>Mão de Obra</t>
  </si>
  <si>
    <t xml:space="preserve">Piso </t>
  </si>
  <si>
    <t xml:space="preserve">Rodapé </t>
  </si>
  <si>
    <t xml:space="preserve">Instalação </t>
  </si>
  <si>
    <t>Marmoraria</t>
  </si>
  <si>
    <t xml:space="preserve">Não foi vendido pintura para o cliente </t>
  </si>
  <si>
    <t>Orçar pintura</t>
  </si>
  <si>
    <t xml:space="preserve">Orçar  Cotineiro de gesso  </t>
  </si>
  <si>
    <t xml:space="preserve">Shaft para esconder tubulações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</si>
</sst>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R$&quot;\ #,##0;[Red]\-&quot;R$&quot;\ #,##0"/>
    <numFmt numFmtId="164" formatCode="[$-409]d\-mmm\-yyyy"/>
    <numFmt numFmtId="165" formatCode="[$-416]d\-mmm\-yy"/>
    <numFmt numFmtId="166" formatCode="_-&quot;R$&quot;* #,##0.00_-;\-&quot;R$&quot;* #,##0.00_-;_-&quot;R$&quot;* &quot;-&quot;??_-;_-@"/>
    <numFmt numFmtId="167" formatCode="_(&quot;R$ &quot;* #,##0.00_);_(&quot;R$ &quot;* \(#,##0.00\);_(&quot;R$ &quot;* &quot;-&quot;??_);_(@_)"/>
    <numFmt numFmtId="168" formatCode="[$R$ -416]#,##0.00"/>
    <numFmt numFmtId="169" formatCode="_-&quot;R$&quot;\ * #,##0.00_-;\-&quot;R$&quot;\ * #,##0.00_-;_-&quot;R$&quot;\ * &quot;-&quot;??_-;_-@"/>
    <numFmt numFmtId="170" formatCode="_-* #,##0.00_-;\-* #,##0.00_-;_-* &quot;-&quot;??_-;_-@"/>
    <numFmt numFmtId="171" formatCode="_(* #,##0_);_(* \(#,##0\);_(* &quot;-&quot;??_);_(@_)"/>
    <numFmt numFmtId="172" formatCode="0.0%"/>
    <numFmt numFmtId="173" formatCode="&quot;R$&quot;\ #,##0.00"/>
  </numFmts>
  <fonts count="2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9"/>
      <color rgb="FFFF9900"/>
      <name val="Verdana"/>
      <family val="2"/>
    </font>
    <font>
      <sz val="11"/>
      <name val="Calibri"/>
      <family val="2"/>
    </font>
    <font>
      <sz val="9"/>
      <color theme="1"/>
      <name val="Verdana"/>
      <family val="2"/>
    </font>
    <font>
      <sz val="8"/>
      <color theme="1"/>
      <name val="Verdana"/>
      <family val="2"/>
    </font>
    <font>
      <b/>
      <sz val="9"/>
      <color theme="1"/>
      <name val="Verdana"/>
      <family val="2"/>
    </font>
    <font>
      <sz val="9"/>
      <color rgb="FFFFFFFF"/>
      <name val="Verdana"/>
      <family val="2"/>
    </font>
    <font>
      <sz val="9"/>
      <color theme="0"/>
      <name val="Verdana"/>
      <family val="2"/>
    </font>
    <font>
      <sz val="8"/>
      <color rgb="FFFFFFFF"/>
      <name val="Verdana"/>
      <family val="2"/>
    </font>
    <font>
      <sz val="9"/>
      <color rgb="FF808080"/>
      <name val="Verdana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sz val="9"/>
      <color theme="1"/>
      <name val="Gotham light"/>
    </font>
    <font>
      <sz val="8"/>
      <color theme="1"/>
      <name val="Gotham Light"/>
    </font>
    <font>
      <sz val="8"/>
      <color theme="1"/>
      <name val="Calibri"/>
      <family val="2"/>
    </font>
    <font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  <fill>
      <patternFill patternType="solid">
        <fgColor rgb="FFFF9900"/>
        <bgColor rgb="FFFF9900"/>
      </patternFill>
    </fill>
    <fill>
      <patternFill patternType="solid">
        <fgColor rgb="FF0C0C0C"/>
        <bgColor rgb="FF0C0C0C"/>
      </patternFill>
    </fill>
    <fill>
      <patternFill patternType="solid">
        <fgColor rgb="FF4F81BD"/>
        <bgColor rgb="FF4F81BD"/>
      </patternFill>
    </fill>
    <fill>
      <patternFill patternType="solid">
        <fgColor rgb="FFE8F0FE"/>
        <bgColor rgb="FFE8F0FE"/>
      </patternFill>
    </fill>
    <fill>
      <patternFill patternType="solid">
        <fgColor rgb="FF92D050"/>
        <bgColor rgb="FF92D050"/>
      </patternFill>
    </fill>
    <fill>
      <patternFill patternType="solid">
        <fgColor rgb="FF00FF00"/>
        <bgColor rgb="FF00FF00"/>
      </patternFill>
    </fill>
    <fill>
      <patternFill patternType="solid">
        <fgColor theme="6"/>
        <bgColor theme="6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FF9900"/>
      </bottom>
      <diagonal/>
    </border>
    <border>
      <left style="thin">
        <color rgb="FF5B95F9"/>
      </left>
      <right/>
      <top/>
      <bottom style="thin">
        <color rgb="FF5B95F9"/>
      </bottom>
      <diagonal/>
    </border>
    <border>
      <left/>
      <right/>
      <top/>
      <bottom style="thin">
        <color rgb="FF5B95F9"/>
      </bottom>
      <diagonal/>
    </border>
    <border>
      <left/>
      <right style="thin">
        <color rgb="FF5B95F9"/>
      </right>
      <top/>
      <bottom style="thin">
        <color rgb="FF5B95F9"/>
      </bottom>
      <diagonal/>
    </border>
    <border>
      <left style="thin">
        <color rgb="FF5B95F9"/>
      </left>
      <right style="thin">
        <color rgb="FF5B95F9"/>
      </right>
      <top style="thin">
        <color rgb="FF5B95F9"/>
      </top>
      <bottom style="thin">
        <color rgb="FF5B95F9"/>
      </bottom>
      <diagonal/>
    </border>
    <border>
      <left/>
      <right/>
      <top/>
      <bottom style="thin">
        <color rgb="FF5B95F9"/>
      </bottom>
      <diagonal/>
    </border>
    <border>
      <left style="thin">
        <color rgb="FF5B95F9"/>
      </left>
      <right style="thin">
        <color rgb="FF5B95F9"/>
      </right>
      <top style="thin">
        <color rgb="FF5B95F9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91">
    <xf numFmtId="0" fontId="0" fillId="0" borderId="0" xfId="0" applyFont="1" applyAlignment="1"/>
    <xf numFmtId="0" fontId="4" fillId="3" borderId="4" xfId="0" applyFont="1" applyFill="1" applyBorder="1"/>
    <xf numFmtId="164" fontId="2" fillId="2" borderId="4" xfId="0" applyNumberFormat="1" applyFont="1" applyFill="1" applyBorder="1" applyAlignment="1">
      <alignment horizontal="center" vertical="center"/>
    </xf>
    <xf numFmtId="165" fontId="4" fillId="2" borderId="4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right"/>
    </xf>
    <xf numFmtId="0" fontId="6" fillId="4" borderId="4" xfId="0" applyFont="1" applyFill="1" applyBorder="1" applyAlignment="1">
      <alignment horizontal="right"/>
    </xf>
    <xf numFmtId="0" fontId="4" fillId="3" borderId="4" xfId="0" applyFont="1" applyFill="1" applyBorder="1" applyAlignment="1">
      <alignment vertical="center"/>
    </xf>
    <xf numFmtId="0" fontId="4" fillId="4" borderId="4" xfId="0" applyFont="1" applyFill="1" applyBorder="1" applyAlignment="1">
      <alignment horizontal="left"/>
    </xf>
    <xf numFmtId="164" fontId="4" fillId="4" borderId="4" xfId="0" applyNumberFormat="1" applyFont="1" applyFill="1" applyBorder="1" applyAlignment="1">
      <alignment horizontal="left" vertical="center"/>
    </xf>
    <xf numFmtId="0" fontId="7" fillId="5" borderId="4" xfId="0" applyFont="1" applyFill="1" applyBorder="1" applyAlignment="1">
      <alignment vertical="center"/>
    </xf>
    <xf numFmtId="0" fontId="8" fillId="5" borderId="4" xfId="0" applyFont="1" applyFill="1" applyBorder="1" applyAlignment="1">
      <alignment vertical="center"/>
    </xf>
    <xf numFmtId="2" fontId="9" fillId="5" borderId="4" xfId="0" applyNumberFormat="1" applyFont="1" applyFill="1" applyBorder="1" applyAlignment="1">
      <alignment vertical="center"/>
    </xf>
    <xf numFmtId="166" fontId="4" fillId="2" borderId="4" xfId="0" applyNumberFormat="1" applyFont="1" applyFill="1" applyBorder="1" applyAlignment="1">
      <alignment horizontal="left" vertical="center"/>
    </xf>
    <xf numFmtId="167" fontId="4" fillId="4" borderId="13" xfId="0" applyNumberFormat="1" applyFont="1" applyFill="1" applyBorder="1" applyAlignment="1">
      <alignment horizontal="left"/>
    </xf>
    <xf numFmtId="0" fontId="4" fillId="4" borderId="13" xfId="0" quotePrefix="1" applyFont="1" applyFill="1" applyBorder="1" applyAlignment="1">
      <alignment horizontal="left"/>
    </xf>
    <xf numFmtId="167" fontId="4" fillId="4" borderId="13" xfId="0" applyNumberFormat="1" applyFont="1" applyFill="1" applyBorder="1" applyAlignment="1">
      <alignment horizontal="center"/>
    </xf>
    <xf numFmtId="168" fontId="4" fillId="2" borderId="4" xfId="0" applyNumberFormat="1" applyFont="1" applyFill="1" applyBorder="1" applyAlignment="1">
      <alignment horizontal="left" vertical="center"/>
    </xf>
    <xf numFmtId="0" fontId="10" fillId="3" borderId="4" xfId="0" applyFont="1" applyFill="1" applyBorder="1"/>
    <xf numFmtId="0" fontId="4" fillId="4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167" fontId="4" fillId="2" borderId="4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left" vertical="center"/>
    </xf>
    <xf numFmtId="166" fontId="4" fillId="4" borderId="4" xfId="0" applyNumberFormat="1" applyFont="1" applyFill="1" applyBorder="1" applyAlignment="1">
      <alignment horizontal="left" vertical="center"/>
    </xf>
    <xf numFmtId="0" fontId="4" fillId="4" borderId="13" xfId="0" applyFont="1" applyFill="1" applyBorder="1" applyAlignment="1">
      <alignment vertical="center"/>
    </xf>
    <xf numFmtId="0" fontId="4" fillId="4" borderId="13" xfId="0" applyFont="1" applyFill="1" applyBorder="1" applyAlignment="1">
      <alignment horizontal="left"/>
    </xf>
    <xf numFmtId="0" fontId="4" fillId="4" borderId="4" xfId="0" applyFont="1" applyFill="1" applyBorder="1" applyAlignment="1">
      <alignment vertical="center"/>
    </xf>
    <xf numFmtId="0" fontId="4" fillId="2" borderId="4" xfId="0" applyFont="1" applyFill="1" applyBorder="1"/>
    <xf numFmtId="167" fontId="4" fillId="2" borderId="4" xfId="0" applyNumberFormat="1" applyFont="1" applyFill="1" applyBorder="1" applyAlignment="1">
      <alignment horizontal="right"/>
    </xf>
    <xf numFmtId="168" fontId="4" fillId="2" borderId="4" xfId="0" applyNumberFormat="1" applyFont="1" applyFill="1" applyBorder="1" applyAlignment="1">
      <alignment horizontal="left"/>
    </xf>
    <xf numFmtId="169" fontId="4" fillId="4" borderId="4" xfId="0" applyNumberFormat="1" applyFont="1" applyFill="1" applyBorder="1" applyAlignment="1">
      <alignment horizontal="left"/>
    </xf>
    <xf numFmtId="168" fontId="4" fillId="4" borderId="4" xfId="0" applyNumberFormat="1" applyFont="1" applyFill="1" applyBorder="1" applyAlignment="1">
      <alignment horizontal="left" vertical="center"/>
    </xf>
    <xf numFmtId="3" fontId="4" fillId="2" borderId="4" xfId="0" applyNumberFormat="1" applyFont="1" applyFill="1" applyBorder="1" applyAlignment="1">
      <alignment horizontal="center" vertical="center"/>
    </xf>
    <xf numFmtId="169" fontId="4" fillId="4" borderId="4" xfId="0" applyNumberFormat="1" applyFont="1" applyFill="1" applyBorder="1" applyAlignment="1">
      <alignment horizontal="left" vertical="center"/>
    </xf>
    <xf numFmtId="0" fontId="7" fillId="5" borderId="4" xfId="0" applyFont="1" applyFill="1" applyBorder="1" applyAlignment="1">
      <alignment horizontal="left" vertical="center"/>
    </xf>
    <xf numFmtId="169" fontId="4" fillId="2" borderId="4" xfId="0" applyNumberFormat="1" applyFont="1" applyFill="1" applyBorder="1" applyAlignment="1">
      <alignment horizontal="left" vertical="center"/>
    </xf>
    <xf numFmtId="0" fontId="4" fillId="4" borderId="4" xfId="0" applyFont="1" applyFill="1" applyBorder="1" applyAlignment="1">
      <alignment vertical="top"/>
    </xf>
    <xf numFmtId="0" fontId="4" fillId="4" borderId="4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center"/>
    </xf>
    <xf numFmtId="166" fontId="4" fillId="2" borderId="4" xfId="0" applyNumberFormat="1" applyFont="1" applyFill="1" applyBorder="1" applyAlignment="1">
      <alignment horizontal="left"/>
    </xf>
    <xf numFmtId="0" fontId="4" fillId="4" borderId="14" xfId="0" applyFont="1" applyFill="1" applyBorder="1" applyAlignment="1">
      <alignment vertical="center"/>
    </xf>
    <xf numFmtId="0" fontId="4" fillId="4" borderId="14" xfId="0" applyFont="1" applyFill="1" applyBorder="1" applyAlignment="1">
      <alignment horizontal="left"/>
    </xf>
    <xf numFmtId="167" fontId="4" fillId="4" borderId="14" xfId="0" applyNumberFormat="1" applyFont="1" applyFill="1" applyBorder="1" applyAlignment="1">
      <alignment horizontal="center"/>
    </xf>
    <xf numFmtId="167" fontId="4" fillId="4" borderId="14" xfId="0" applyNumberFormat="1" applyFont="1" applyFill="1" applyBorder="1" applyAlignment="1">
      <alignment horizontal="left"/>
    </xf>
    <xf numFmtId="0" fontId="2" fillId="2" borderId="4" xfId="0" applyFont="1" applyFill="1" applyBorder="1" applyAlignment="1">
      <alignment horizontal="center" vertical="center"/>
    </xf>
    <xf numFmtId="167" fontId="4" fillId="4" borderId="4" xfId="0" applyNumberFormat="1" applyFont="1" applyFill="1" applyBorder="1" applyAlignment="1">
      <alignment horizontal="center" vertical="center"/>
    </xf>
    <xf numFmtId="168" fontId="4" fillId="4" borderId="4" xfId="0" applyNumberFormat="1" applyFont="1" applyFill="1" applyBorder="1" applyAlignment="1">
      <alignment horizontal="left"/>
    </xf>
    <xf numFmtId="0" fontId="4" fillId="4" borderId="4" xfId="0" applyFont="1" applyFill="1" applyBorder="1" applyAlignment="1">
      <alignment horizontal="left" vertical="top"/>
    </xf>
    <xf numFmtId="0" fontId="4" fillId="4" borderId="4" xfId="0" applyFont="1" applyFill="1" applyBorder="1" applyAlignment="1">
      <alignment horizontal="center"/>
    </xf>
    <xf numFmtId="168" fontId="4" fillId="4" borderId="4" xfId="0" applyNumberFormat="1" applyFont="1" applyFill="1" applyBorder="1" applyAlignment="1">
      <alignment horizontal="left" vertical="top"/>
    </xf>
    <xf numFmtId="166" fontId="4" fillId="4" borderId="4" xfId="0" applyNumberFormat="1" applyFont="1" applyFill="1" applyBorder="1" applyAlignment="1">
      <alignment horizontal="left" vertical="top"/>
    </xf>
    <xf numFmtId="2" fontId="7" fillId="5" borderId="4" xfId="0" applyNumberFormat="1" applyFont="1" applyFill="1" applyBorder="1" applyAlignment="1">
      <alignment vertical="center"/>
    </xf>
    <xf numFmtId="167" fontId="4" fillId="4" borderId="4" xfId="0" applyNumberFormat="1" applyFont="1" applyFill="1" applyBorder="1" applyAlignment="1">
      <alignment horizontal="center"/>
    </xf>
    <xf numFmtId="167" fontId="4" fillId="2" borderId="4" xfId="0" applyNumberFormat="1" applyFont="1" applyFill="1" applyBorder="1" applyAlignment="1">
      <alignment horizontal="left"/>
    </xf>
    <xf numFmtId="0" fontId="10" fillId="2" borderId="4" xfId="0" applyFont="1" applyFill="1" applyBorder="1" applyAlignment="1">
      <alignment vertical="center"/>
    </xf>
    <xf numFmtId="167" fontId="10" fillId="2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vertical="center"/>
    </xf>
    <xf numFmtId="0" fontId="4" fillId="3" borderId="4" xfId="0" applyFont="1" applyFill="1" applyBorder="1" applyAlignment="1">
      <alignment horizontal="left"/>
    </xf>
    <xf numFmtId="0" fontId="4" fillId="4" borderId="4" xfId="0" applyFont="1" applyFill="1" applyBorder="1" applyAlignment="1">
      <alignment vertical="center" wrapText="1"/>
    </xf>
    <xf numFmtId="170" fontId="4" fillId="4" borderId="4" xfId="0" applyNumberFormat="1" applyFont="1" applyFill="1" applyBorder="1" applyAlignment="1">
      <alignment vertical="center" wrapText="1"/>
    </xf>
    <xf numFmtId="168" fontId="2" fillId="2" borderId="4" xfId="0" applyNumberFormat="1" applyFont="1" applyFill="1" applyBorder="1" applyAlignment="1">
      <alignment horizontal="left" vertical="center"/>
    </xf>
    <xf numFmtId="171" fontId="4" fillId="3" borderId="4" xfId="0" applyNumberFormat="1" applyFont="1" applyFill="1" applyBorder="1"/>
    <xf numFmtId="0" fontId="4" fillId="3" borderId="4" xfId="0" applyFont="1" applyFill="1" applyBorder="1" applyAlignment="1">
      <alignment horizontal="center"/>
    </xf>
    <xf numFmtId="167" fontId="4" fillId="3" borderId="4" xfId="0" applyNumberFormat="1" applyFont="1" applyFill="1" applyBorder="1" applyAlignment="1">
      <alignment horizontal="left"/>
    </xf>
    <xf numFmtId="0" fontId="12" fillId="8" borderId="18" xfId="0" applyFont="1" applyFill="1" applyBorder="1" applyAlignment="1">
      <alignment horizontal="center" vertical="center"/>
    </xf>
    <xf numFmtId="0" fontId="11" fillId="8" borderId="18" xfId="0" applyFont="1" applyFill="1" applyBorder="1" applyAlignment="1">
      <alignment horizontal="center" vertical="center"/>
    </xf>
    <xf numFmtId="0" fontId="11" fillId="8" borderId="20" xfId="0" applyFont="1" applyFill="1" applyBorder="1" applyAlignment="1">
      <alignment vertical="center" wrapText="1"/>
    </xf>
    <xf numFmtId="169" fontId="11" fillId="8" borderId="20" xfId="0" applyNumberFormat="1" applyFont="1" applyFill="1" applyBorder="1" applyAlignment="1">
      <alignment vertical="center" wrapText="1"/>
    </xf>
    <xf numFmtId="0" fontId="12" fillId="8" borderId="20" xfId="0" applyFont="1" applyFill="1" applyBorder="1" applyAlignment="1">
      <alignment vertical="center" wrapText="1"/>
    </xf>
    <xf numFmtId="0" fontId="11" fillId="8" borderId="20" xfId="0" applyFont="1" applyFill="1" applyBorder="1" applyAlignment="1">
      <alignment vertical="center"/>
    </xf>
    <xf numFmtId="10" fontId="12" fillId="8" borderId="18" xfId="0" applyNumberFormat="1" applyFont="1" applyFill="1" applyBorder="1" applyAlignment="1">
      <alignment horizontal="center" vertical="center"/>
    </xf>
    <xf numFmtId="0" fontId="11" fillId="8" borderId="18" xfId="0" applyFont="1" applyFill="1" applyBorder="1" applyAlignment="1">
      <alignment horizontal="center" vertical="center" wrapText="1"/>
    </xf>
    <xf numFmtId="169" fontId="11" fillId="8" borderId="18" xfId="0" applyNumberFormat="1" applyFont="1" applyFill="1" applyBorder="1" applyAlignment="1">
      <alignment horizontal="center" vertical="center" wrapText="1"/>
    </xf>
    <xf numFmtId="9" fontId="11" fillId="8" borderId="20" xfId="0" applyNumberFormat="1" applyFont="1" applyFill="1" applyBorder="1" applyAlignment="1">
      <alignment vertical="center"/>
    </xf>
    <xf numFmtId="0" fontId="13" fillId="9" borderId="18" xfId="0" applyFont="1" applyFill="1" applyBorder="1" applyAlignment="1">
      <alignment vertical="center"/>
    </xf>
    <xf numFmtId="0" fontId="13" fillId="9" borderId="18" xfId="0" applyFont="1" applyFill="1" applyBorder="1" applyAlignment="1">
      <alignment horizontal="left" vertical="center" wrapText="1"/>
    </xf>
    <xf numFmtId="0" fontId="13" fillId="9" borderId="18" xfId="0" applyFont="1" applyFill="1" applyBorder="1" applyAlignment="1">
      <alignment horizontal="center" vertical="center"/>
    </xf>
    <xf numFmtId="0" fontId="14" fillId="9" borderId="18" xfId="0" applyFont="1" applyFill="1" applyBorder="1" applyAlignment="1">
      <alignment horizontal="center" vertical="center"/>
    </xf>
    <xf numFmtId="166" fontId="13" fillId="9" borderId="18" xfId="0" applyNumberFormat="1" applyFont="1" applyFill="1" applyBorder="1" applyAlignment="1">
      <alignment horizontal="center" vertical="center"/>
    </xf>
    <xf numFmtId="169" fontId="13" fillId="9" borderId="18" xfId="0" applyNumberFormat="1" applyFont="1" applyFill="1" applyBorder="1" applyAlignment="1">
      <alignment horizontal="center" vertical="center"/>
    </xf>
    <xf numFmtId="10" fontId="14" fillId="9" borderId="18" xfId="0" applyNumberFormat="1" applyFont="1" applyFill="1" applyBorder="1" applyAlignment="1">
      <alignment vertical="center"/>
    </xf>
    <xf numFmtId="9" fontId="13" fillId="9" borderId="18" xfId="0" applyNumberFormat="1" applyFont="1" applyFill="1" applyBorder="1" applyAlignment="1">
      <alignment vertical="center"/>
    </xf>
    <xf numFmtId="169" fontId="13" fillId="9" borderId="18" xfId="0" applyNumberFormat="1" applyFont="1" applyFill="1" applyBorder="1" applyAlignment="1">
      <alignment vertical="center"/>
    </xf>
    <xf numFmtId="0" fontId="13" fillId="10" borderId="18" xfId="0" applyFont="1" applyFill="1" applyBorder="1" applyAlignment="1">
      <alignment vertical="center"/>
    </xf>
    <xf numFmtId="0" fontId="13" fillId="10" borderId="18" xfId="0" applyFont="1" applyFill="1" applyBorder="1" applyAlignment="1">
      <alignment horizontal="left" vertical="center" wrapText="1"/>
    </xf>
    <xf numFmtId="0" fontId="13" fillId="10" borderId="18" xfId="0" applyFont="1" applyFill="1" applyBorder="1" applyAlignment="1">
      <alignment horizontal="center" vertical="center"/>
    </xf>
    <xf numFmtId="0" fontId="14" fillId="10" borderId="18" xfId="0" applyFont="1" applyFill="1" applyBorder="1" applyAlignment="1">
      <alignment horizontal="center" vertical="center"/>
    </xf>
    <xf numFmtId="166" fontId="13" fillId="10" borderId="18" xfId="0" applyNumberFormat="1" applyFont="1" applyFill="1" applyBorder="1" applyAlignment="1">
      <alignment horizontal="center" vertical="center"/>
    </xf>
    <xf numFmtId="169" fontId="13" fillId="10" borderId="18" xfId="0" applyNumberFormat="1" applyFont="1" applyFill="1" applyBorder="1" applyAlignment="1">
      <alignment horizontal="center" vertical="center"/>
    </xf>
    <xf numFmtId="10" fontId="14" fillId="10" borderId="18" xfId="0" applyNumberFormat="1" applyFont="1" applyFill="1" applyBorder="1" applyAlignment="1">
      <alignment vertical="center"/>
    </xf>
    <xf numFmtId="9" fontId="13" fillId="10" borderId="18" xfId="0" applyNumberFormat="1" applyFont="1" applyFill="1" applyBorder="1" applyAlignment="1">
      <alignment vertical="center"/>
    </xf>
    <xf numFmtId="169" fontId="13" fillId="10" borderId="18" xfId="0" applyNumberFormat="1" applyFont="1" applyFill="1" applyBorder="1" applyAlignment="1">
      <alignment vertical="center"/>
    </xf>
    <xf numFmtId="172" fontId="15" fillId="11" borderId="4" xfId="0" applyNumberFormat="1" applyFont="1" applyFill="1" applyBorder="1"/>
    <xf numFmtId="0" fontId="13" fillId="2" borderId="18" xfId="0" applyFont="1" applyFill="1" applyBorder="1" applyAlignment="1">
      <alignment vertical="center"/>
    </xf>
    <xf numFmtId="0" fontId="13" fillId="2" borderId="18" xfId="0" applyFont="1" applyFill="1" applyBorder="1" applyAlignment="1">
      <alignment horizontal="left" vertical="center" wrapText="1"/>
    </xf>
    <xf numFmtId="0" fontId="13" fillId="2" borderId="18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166" fontId="13" fillId="2" borderId="18" xfId="0" applyNumberFormat="1" applyFont="1" applyFill="1" applyBorder="1" applyAlignment="1">
      <alignment horizontal="center" vertical="center"/>
    </xf>
    <xf numFmtId="169" fontId="13" fillId="2" borderId="18" xfId="0" applyNumberFormat="1" applyFont="1" applyFill="1" applyBorder="1" applyAlignment="1">
      <alignment horizontal="center" vertical="center"/>
    </xf>
    <xf numFmtId="10" fontId="14" fillId="4" borderId="18" xfId="0" applyNumberFormat="1" applyFont="1" applyFill="1" applyBorder="1" applyAlignment="1">
      <alignment vertical="center"/>
    </xf>
    <xf numFmtId="169" fontId="13" fillId="4" borderId="18" xfId="0" applyNumberFormat="1" applyFont="1" applyFill="1" applyBorder="1" applyAlignment="1">
      <alignment horizontal="center" vertical="center"/>
    </xf>
    <xf numFmtId="9" fontId="13" fillId="4" borderId="18" xfId="0" applyNumberFormat="1" applyFont="1" applyFill="1" applyBorder="1" applyAlignment="1">
      <alignment vertical="center"/>
    </xf>
    <xf numFmtId="169" fontId="13" fillId="2" borderId="18" xfId="0" applyNumberFormat="1" applyFont="1" applyFill="1" applyBorder="1" applyAlignment="1">
      <alignment vertical="center"/>
    </xf>
    <xf numFmtId="0" fontId="13" fillId="9" borderId="18" xfId="0" applyFont="1" applyFill="1" applyBorder="1" applyAlignment="1">
      <alignment horizontal="left" vertical="center"/>
    </xf>
    <xf numFmtId="172" fontId="15" fillId="0" borderId="0" xfId="0" applyNumberFormat="1" applyFont="1"/>
    <xf numFmtId="0" fontId="13" fillId="2" borderId="18" xfId="0" applyFont="1" applyFill="1" applyBorder="1" applyAlignment="1">
      <alignment horizontal="left" vertical="center"/>
    </xf>
    <xf numFmtId="0" fontId="13" fillId="12" borderId="18" xfId="0" applyFont="1" applyFill="1" applyBorder="1" applyAlignment="1">
      <alignment vertical="center"/>
    </xf>
    <xf numFmtId="0" fontId="13" fillId="12" borderId="18" xfId="0" applyFont="1" applyFill="1" applyBorder="1" applyAlignment="1">
      <alignment horizontal="left" vertical="center"/>
    </xf>
    <xf numFmtId="0" fontId="13" fillId="12" borderId="18" xfId="0" applyFont="1" applyFill="1" applyBorder="1" applyAlignment="1">
      <alignment horizontal="center" vertical="center"/>
    </xf>
    <xf numFmtId="0" fontId="14" fillId="12" borderId="18" xfId="0" applyFont="1" applyFill="1" applyBorder="1" applyAlignment="1">
      <alignment horizontal="center" vertical="center"/>
    </xf>
    <xf numFmtId="166" fontId="13" fillId="12" borderId="18" xfId="0" applyNumberFormat="1" applyFont="1" applyFill="1" applyBorder="1" applyAlignment="1">
      <alignment horizontal="center" vertical="center"/>
    </xf>
    <xf numFmtId="169" fontId="13" fillId="12" borderId="18" xfId="0" applyNumberFormat="1" applyFont="1" applyFill="1" applyBorder="1" applyAlignment="1">
      <alignment horizontal="center" vertical="center"/>
    </xf>
    <xf numFmtId="10" fontId="14" fillId="12" borderId="18" xfId="0" applyNumberFormat="1" applyFont="1" applyFill="1" applyBorder="1" applyAlignment="1">
      <alignment vertical="center"/>
    </xf>
    <xf numFmtId="9" fontId="13" fillId="12" borderId="18" xfId="0" applyNumberFormat="1" applyFont="1" applyFill="1" applyBorder="1" applyAlignment="1">
      <alignment vertical="center"/>
    </xf>
    <xf numFmtId="169" fontId="13" fillId="12" borderId="18" xfId="0" applyNumberFormat="1" applyFont="1" applyFill="1" applyBorder="1" applyAlignment="1">
      <alignment vertical="center"/>
    </xf>
    <xf numFmtId="172" fontId="15" fillId="11" borderId="0" xfId="0" applyNumberFormat="1" applyFont="1" applyFill="1"/>
    <xf numFmtId="0" fontId="13" fillId="10" borderId="18" xfId="0" applyFont="1" applyFill="1" applyBorder="1" applyAlignment="1">
      <alignment horizontal="left" vertical="center"/>
    </xf>
    <xf numFmtId="0" fontId="16" fillId="10" borderId="18" xfId="0" applyFont="1" applyFill="1" applyBorder="1" applyAlignment="1">
      <alignment vertical="center" wrapText="1"/>
    </xf>
    <xf numFmtId="0" fontId="16" fillId="10" borderId="18" xfId="0" applyFont="1" applyFill="1" applyBorder="1" applyAlignment="1">
      <alignment horizontal="center" vertical="center"/>
    </xf>
    <xf numFmtId="0" fontId="17" fillId="10" borderId="18" xfId="0" applyFont="1" applyFill="1" applyBorder="1" applyAlignment="1">
      <alignment horizontal="center" vertical="center"/>
    </xf>
    <xf numFmtId="166" fontId="16" fillId="10" borderId="18" xfId="0" applyNumberFormat="1" applyFont="1" applyFill="1" applyBorder="1" applyAlignment="1">
      <alignment horizontal="center" vertical="center"/>
    </xf>
    <xf numFmtId="169" fontId="16" fillId="10" borderId="18" xfId="0" applyNumberFormat="1" applyFont="1" applyFill="1" applyBorder="1" applyAlignment="1">
      <alignment horizontal="center" vertical="center"/>
    </xf>
    <xf numFmtId="10" fontId="17" fillId="10" borderId="18" xfId="0" applyNumberFormat="1" applyFont="1" applyFill="1" applyBorder="1" applyAlignment="1">
      <alignment vertical="center"/>
    </xf>
    <xf numFmtId="9" fontId="16" fillId="10" borderId="18" xfId="0" applyNumberFormat="1" applyFont="1" applyFill="1" applyBorder="1" applyAlignment="1">
      <alignment vertical="center"/>
    </xf>
    <xf numFmtId="169" fontId="16" fillId="10" borderId="18" xfId="0" applyNumberFormat="1" applyFont="1" applyFill="1" applyBorder="1" applyAlignment="1">
      <alignment vertical="center"/>
    </xf>
    <xf numFmtId="0" fontId="13" fillId="10" borderId="18" xfId="0" applyFont="1" applyFill="1" applyBorder="1" applyAlignment="1">
      <alignment vertical="center" wrapText="1"/>
    </xf>
    <xf numFmtId="0" fontId="13" fillId="10" borderId="18" xfId="0" applyFont="1" applyFill="1" applyBorder="1" applyAlignment="1">
      <alignment horizontal="center" vertical="center" wrapText="1"/>
    </xf>
    <xf numFmtId="166" fontId="13" fillId="10" borderId="18" xfId="0" applyNumberFormat="1" applyFont="1" applyFill="1" applyBorder="1" applyAlignment="1">
      <alignment horizontal="center" vertical="center" wrapText="1"/>
    </xf>
    <xf numFmtId="169" fontId="13" fillId="10" borderId="18" xfId="0" applyNumberFormat="1" applyFont="1" applyFill="1" applyBorder="1" applyAlignment="1">
      <alignment horizontal="center" vertical="center"/>
    </xf>
    <xf numFmtId="172" fontId="15" fillId="13" borderId="4" xfId="0" applyNumberFormat="1" applyFont="1" applyFill="1" applyBorder="1"/>
    <xf numFmtId="0" fontId="15" fillId="0" borderId="0" xfId="0" applyFont="1"/>
    <xf numFmtId="0" fontId="16" fillId="10" borderId="18" xfId="0" applyFont="1" applyFill="1" applyBorder="1" applyAlignment="1">
      <alignment vertical="center"/>
    </xf>
    <xf numFmtId="0" fontId="16" fillId="10" borderId="18" xfId="0" applyFont="1" applyFill="1" applyBorder="1" applyAlignment="1">
      <alignment horizontal="left" vertical="center" wrapText="1"/>
    </xf>
    <xf numFmtId="0" fontId="16" fillId="10" borderId="18" xfId="0" applyFont="1" applyFill="1" applyBorder="1" applyAlignment="1">
      <alignment horizontal="left" vertical="center"/>
    </xf>
    <xf numFmtId="172" fontId="15" fillId="14" borderId="4" xfId="0" applyNumberFormat="1" applyFont="1" applyFill="1" applyBorder="1"/>
    <xf numFmtId="166" fontId="13" fillId="9" borderId="20" xfId="0" applyNumberFormat="1" applyFont="1" applyFill="1" applyBorder="1" applyAlignment="1">
      <alignment horizontal="center" vertical="center"/>
    </xf>
    <xf numFmtId="169" fontId="13" fillId="9" borderId="20" xfId="0" applyNumberFormat="1" applyFont="1" applyFill="1" applyBorder="1" applyAlignment="1">
      <alignment horizontal="center" vertical="center"/>
    </xf>
    <xf numFmtId="0" fontId="14" fillId="9" borderId="20" xfId="0" applyFont="1" applyFill="1" applyBorder="1" applyAlignment="1">
      <alignment horizontal="center" vertical="center"/>
    </xf>
    <xf numFmtId="169" fontId="13" fillId="9" borderId="20" xfId="0" applyNumberFormat="1" applyFont="1" applyFill="1" applyBorder="1" applyAlignment="1">
      <alignment vertical="center"/>
    </xf>
    <xf numFmtId="0" fontId="13" fillId="2" borderId="21" xfId="0" applyFont="1" applyFill="1" applyBorder="1" applyAlignment="1">
      <alignment vertical="center"/>
    </xf>
    <xf numFmtId="0" fontId="13" fillId="2" borderId="21" xfId="0" applyFont="1" applyFill="1" applyBorder="1" applyAlignment="1">
      <alignment horizontal="left" vertical="center" wrapText="1"/>
    </xf>
    <xf numFmtId="0" fontId="13" fillId="2" borderId="21" xfId="0" applyFont="1" applyFill="1" applyBorder="1" applyAlignment="1">
      <alignment horizontal="center" vertical="center"/>
    </xf>
    <xf numFmtId="0" fontId="14" fillId="2" borderId="21" xfId="0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>
      <alignment horizontal="center" vertical="center"/>
    </xf>
    <xf numFmtId="9" fontId="14" fillId="2" borderId="21" xfId="0" applyNumberFormat="1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>
      <alignment vertical="center"/>
    </xf>
    <xf numFmtId="0" fontId="13" fillId="9" borderId="22" xfId="0" applyFont="1" applyFill="1" applyBorder="1" applyAlignment="1">
      <alignment vertical="center"/>
    </xf>
    <xf numFmtId="0" fontId="13" fillId="9" borderId="23" xfId="0" applyFont="1" applyFill="1" applyBorder="1" applyAlignment="1">
      <alignment vertical="center"/>
    </xf>
    <xf numFmtId="169" fontId="13" fillId="9" borderId="21" xfId="0" applyNumberFormat="1" applyFont="1" applyFill="1" applyBorder="1" applyAlignment="1">
      <alignment vertical="center"/>
    </xf>
    <xf numFmtId="169" fontId="13" fillId="9" borderId="23" xfId="0" applyNumberFormat="1" applyFont="1" applyFill="1" applyBorder="1" applyAlignment="1">
      <alignment vertical="center"/>
    </xf>
    <xf numFmtId="0" fontId="13" fillId="9" borderId="24" xfId="0" applyFont="1" applyFill="1" applyBorder="1" applyAlignment="1">
      <alignment vertical="center"/>
    </xf>
    <xf numFmtId="9" fontId="18" fillId="2" borderId="21" xfId="0" applyNumberFormat="1" applyFont="1" applyFill="1" applyBorder="1" applyAlignment="1">
      <alignment horizontal="center" vertical="center"/>
    </xf>
    <xf numFmtId="169" fontId="18" fillId="2" borderId="21" xfId="0" applyNumberFormat="1" applyFont="1" applyFill="1" applyBorder="1" applyAlignment="1">
      <alignment horizontal="center" vertical="center"/>
    </xf>
    <xf numFmtId="172" fontId="19" fillId="2" borderId="21" xfId="0" applyNumberFormat="1" applyFont="1" applyFill="1" applyBorder="1" applyAlignment="1">
      <alignment horizontal="center" vertical="center"/>
    </xf>
    <xf numFmtId="0" fontId="18" fillId="2" borderId="21" xfId="0" applyFont="1" applyFill="1" applyBorder="1" applyAlignment="1">
      <alignment vertical="center"/>
    </xf>
    <xf numFmtId="0" fontId="20" fillId="0" borderId="0" xfId="0" applyFont="1"/>
    <xf numFmtId="169" fontId="15" fillId="0" borderId="0" xfId="0" applyNumberFormat="1" applyFont="1"/>
    <xf numFmtId="2" fontId="15" fillId="0" borderId="0" xfId="0" applyNumberFormat="1" applyFont="1"/>
    <xf numFmtId="168" fontId="15" fillId="0" borderId="0" xfId="0" applyNumberFormat="1" applyFont="1"/>
    <xf numFmtId="0" fontId="15" fillId="0" borderId="0" xfId="0" applyFont="1" applyAlignment="1"/>
    <xf numFmtId="168" fontId="15" fillId="0" borderId="0" xfId="0" applyNumberFormat="1" applyFont="1" applyAlignment="1"/>
    <xf numFmtId="9" fontId="15" fillId="0" borderId="0" xfId="0" applyNumberFormat="1" applyFont="1"/>
    <xf numFmtId="166" fontId="15" fillId="0" borderId="0" xfId="0" applyNumberFormat="1" applyFont="1"/>
    <xf numFmtId="0" fontId="21" fillId="0" borderId="0" xfId="0" applyFont="1" applyAlignment="1"/>
    <xf numFmtId="6" fontId="15" fillId="0" borderId="0" xfId="0" applyNumberFormat="1" applyFont="1"/>
    <xf numFmtId="173" fontId="0" fillId="0" borderId="0" xfId="0" applyNumberFormat="1" applyFont="1" applyAlignment="1"/>
    <xf numFmtId="164" fontId="2" fillId="2" borderId="1" xfId="0" applyNumberFormat="1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5" fillId="4" borderId="5" xfId="0" applyFont="1" applyFill="1" applyBorder="1" applyAlignment="1">
      <alignment horizontal="left"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0" fillId="0" borderId="0" xfId="0" applyFont="1" applyAlignment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8" fillId="7" borderId="1" xfId="0" applyFont="1" applyFill="1" applyBorder="1" applyAlignment="1">
      <alignment horizontal="center" vertical="center"/>
    </xf>
    <xf numFmtId="166" fontId="8" fillId="7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11" fillId="8" borderId="15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17" xfId="0" applyFont="1" applyBorder="1"/>
    <xf numFmtId="0" fontId="3" fillId="0" borderId="19" xfId="0" applyFont="1" applyBorder="1"/>
    <xf numFmtId="169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161925</xdr:colOff>
      <xdr:row>1</xdr:row>
      <xdr:rowOff>66675</xdr:rowOff>
    </xdr:from>
    <xdr:ext cx="1685925" cy="952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C00"/>
    <pageSetUpPr fitToPage="1"/>
  </sheetPr>
  <dimension ref="A1:AB638"/>
  <sheetViews>
    <sheetView topLeftCell="A137" workbookViewId="0">
      <selection sqref="A1:H1"/>
    </sheetView>
  </sheetViews>
  <sheetFormatPr defaultColWidth="14.44140625" defaultRowHeight="15" customHeight="1"/>
  <cols>
    <col min="1" max="1" width="2.6640625" customWidth="1"/>
    <col min="2" max="2" width="32.5546875" customWidth="1"/>
    <col min="3" max="3" width="25.6640625" customWidth="1"/>
    <col min="4" max="4" width="4.5546875" customWidth="1"/>
    <col min="5" max="5" width="13.109375" customWidth="1"/>
    <col min="6" max="6" width="8.109375" customWidth="1"/>
    <col min="7" max="7" width="10.44140625" customWidth="1"/>
    <col min="8" max="8" width="16.33203125" customWidth="1"/>
    <col min="9" max="28" width="8" hidden="1" customWidth="1"/>
  </cols>
  <sheetData>
    <row r="1" spans="1:28" ht="14.4">
      <c r="A1" s="169"/>
      <c r="B1" s="170"/>
      <c r="C1" s="170"/>
      <c r="D1" s="170"/>
      <c r="E1" s="170"/>
      <c r="F1" s="170"/>
      <c r="G1" s="170"/>
      <c r="H1" s="17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4.4">
      <c r="A2" s="2"/>
      <c r="B2" s="2"/>
      <c r="C2" s="2"/>
      <c r="D2" s="2"/>
      <c r="E2" s="2"/>
      <c r="F2" s="2"/>
      <c r="G2" s="3">
        <f ca="1">TODAY()</f>
        <v>45850</v>
      </c>
      <c r="H2" s="4" t="s">
        <v>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4.4">
      <c r="A3" s="5"/>
      <c r="B3" s="172"/>
      <c r="C3" s="173"/>
      <c r="D3" s="173"/>
      <c r="E3" s="174"/>
      <c r="F3" s="6"/>
      <c r="G3" s="6"/>
      <c r="H3" s="6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4.4">
      <c r="A4" s="5"/>
      <c r="B4" s="175"/>
      <c r="C4" s="176"/>
      <c r="D4" s="176"/>
      <c r="E4" s="177"/>
      <c r="F4" s="6"/>
      <c r="G4" s="6" t="s">
        <v>1</v>
      </c>
      <c r="H4" s="7" t="s">
        <v>2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4.4">
      <c r="A5" s="5"/>
      <c r="B5" s="175"/>
      <c r="C5" s="176"/>
      <c r="D5" s="176"/>
      <c r="E5" s="177"/>
      <c r="F5" s="6"/>
      <c r="G5" s="6" t="s">
        <v>3</v>
      </c>
      <c r="H5" s="6">
        <v>20250520</v>
      </c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4.4">
      <c r="A6" s="5"/>
      <c r="B6" s="178"/>
      <c r="C6" s="179"/>
      <c r="D6" s="179"/>
      <c r="E6" s="180"/>
      <c r="F6" s="6"/>
      <c r="G6" s="6"/>
      <c r="H6" s="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4.4">
      <c r="A7" s="5"/>
      <c r="B7" s="9"/>
      <c r="C7" s="9"/>
      <c r="D7" s="10"/>
      <c r="E7" s="9"/>
      <c r="F7" s="9"/>
      <c r="G7" s="9"/>
      <c r="H7" s="9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4.4">
      <c r="A8" s="5"/>
      <c r="B8" s="11" t="s">
        <v>4</v>
      </c>
      <c r="C8" s="12"/>
      <c r="D8" s="12"/>
      <c r="E8" s="12"/>
      <c r="F8" s="13">
        <f>H8*100/(G199)</f>
        <v>3.6068813083224414</v>
      </c>
      <c r="G8" s="13" t="s">
        <v>5</v>
      </c>
      <c r="H8" s="14">
        <f>SUM(H12:H16)</f>
        <v>1032.31242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5.75" customHeight="1">
      <c r="A9" s="5"/>
      <c r="B9" s="15"/>
      <c r="C9" s="15"/>
      <c r="D9" s="16" t="s">
        <v>6</v>
      </c>
      <c r="E9" s="17"/>
      <c r="F9" s="15"/>
      <c r="G9" s="15"/>
      <c r="H9" s="18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ht="15.75" customHeight="1">
      <c r="A10" s="5"/>
      <c r="B10" s="20"/>
      <c r="C10" s="20"/>
      <c r="D10" s="20"/>
      <c r="E10" s="4" t="s">
        <v>7</v>
      </c>
      <c r="F10" s="4" t="s">
        <v>8</v>
      </c>
      <c r="G10" s="21"/>
      <c r="H10" s="18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ht="15.75" hidden="1" customHeight="1">
      <c r="A11" s="5"/>
      <c r="B11" s="22"/>
      <c r="C11" s="22"/>
      <c r="D11" s="22"/>
      <c r="E11" s="4"/>
      <c r="F11" s="4"/>
      <c r="G11" s="23"/>
      <c r="H11" s="18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.75" hidden="1" customHeight="1">
      <c r="A12" s="5"/>
      <c r="B12" s="22" t="str">
        <f>Planejamento!B3</f>
        <v xml:space="preserve">Projeto Arquitetonito para Liberação da Obra </v>
      </c>
      <c r="C12" s="22"/>
      <c r="D12" s="22"/>
      <c r="E12" s="4" t="str">
        <f>Planejamento!C3</f>
        <v>m²</v>
      </c>
      <c r="F12" s="4">
        <f>Planejamento!D3</f>
        <v>0</v>
      </c>
      <c r="G12" s="23"/>
      <c r="H12" s="14">
        <f>Planejamento!N3</f>
        <v>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.75" customHeight="1">
      <c r="A13" s="5"/>
      <c r="B13" s="22"/>
      <c r="C13" s="22"/>
      <c r="D13" s="22"/>
      <c r="E13" s="4"/>
      <c r="F13" s="4"/>
      <c r="G13" s="23"/>
      <c r="H13" s="1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.75" customHeight="1">
      <c r="A14" s="5"/>
      <c r="B14" s="22" t="str">
        <f>Planejamento!B4</f>
        <v>Anotação de Responsabilidade Técnica (RRT)</v>
      </c>
      <c r="C14" s="22"/>
      <c r="D14" s="22"/>
      <c r="E14" s="4" t="str">
        <f>Planejamento!C4</f>
        <v>m²</v>
      </c>
      <c r="F14" s="4">
        <f>Planejamento!D4</f>
        <v>36</v>
      </c>
      <c r="G14" s="23"/>
      <c r="H14" s="14">
        <f>Planejamento!N4</f>
        <v>1032.31242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5.75" hidden="1" customHeight="1">
      <c r="A15" s="5"/>
      <c r="B15" s="22" t="str">
        <f>Planejamento!B5</f>
        <v>Impressões</v>
      </c>
      <c r="C15" s="22"/>
      <c r="D15" s="22"/>
      <c r="E15" s="4" t="str">
        <f>Planejamento!C5</f>
        <v>unidade</v>
      </c>
      <c r="F15" s="4">
        <f>Planejamento!D5</f>
        <v>0</v>
      </c>
      <c r="G15" s="23"/>
      <c r="H15" s="14">
        <f>Planejamento!N5</f>
        <v>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5.75" hidden="1" customHeight="1">
      <c r="A16" s="5"/>
      <c r="B16" s="22" t="str">
        <f>Planejamento!B6</f>
        <v>Seguro de Obra</v>
      </c>
      <c r="C16" s="9"/>
      <c r="D16" s="9"/>
      <c r="E16" s="4" t="str">
        <f>Planejamento!C6</f>
        <v>m²</v>
      </c>
      <c r="F16" s="4">
        <f>Planejamento!D6</f>
        <v>0</v>
      </c>
      <c r="G16" s="9"/>
      <c r="H16" s="14">
        <f>Planejamento!N6</f>
        <v>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.75" customHeight="1">
      <c r="A17" s="24"/>
      <c r="B17" s="24"/>
      <c r="C17" s="24"/>
      <c r="D17" s="24"/>
      <c r="E17" s="24"/>
      <c r="F17" s="22"/>
      <c r="G17" s="24"/>
      <c r="H17" s="25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5.75" customHeight="1">
      <c r="A18" s="24"/>
      <c r="B18" s="11" t="s">
        <v>9</v>
      </c>
      <c r="C18" s="12"/>
      <c r="D18" s="12"/>
      <c r="E18" s="12"/>
      <c r="F18" s="13">
        <f>H18*100/(G199)</f>
        <v>2.9850052206806414</v>
      </c>
      <c r="G18" s="13" t="s">
        <v>5</v>
      </c>
      <c r="H18" s="14">
        <f>SUM(H22:H26)</f>
        <v>854.32752000000005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.75" customHeight="1">
      <c r="A19" s="24"/>
      <c r="B19" s="26"/>
      <c r="C19" s="27"/>
      <c r="D19" s="27"/>
      <c r="E19" s="17"/>
      <c r="F19" s="15"/>
      <c r="G19" s="15"/>
      <c r="H19" s="18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.75" customHeight="1">
      <c r="A20" s="24"/>
      <c r="B20" s="28"/>
      <c r="C20" s="29"/>
      <c r="D20" s="29"/>
      <c r="E20" s="4" t="s">
        <v>7</v>
      </c>
      <c r="F20" s="4" t="s">
        <v>8</v>
      </c>
      <c r="G20" s="30"/>
      <c r="H20" s="3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.75" customHeight="1">
      <c r="A21" s="24"/>
      <c r="B21" s="22"/>
      <c r="C21" s="29"/>
      <c r="D21" s="29"/>
      <c r="E21" s="4"/>
      <c r="F21" s="4"/>
      <c r="G21" s="30"/>
      <c r="H21" s="1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.75" hidden="1" customHeight="1">
      <c r="A22" s="24"/>
      <c r="B22" s="22" t="str">
        <f>Planejamento!B7</f>
        <v>arquiteto</v>
      </c>
      <c r="C22" s="29"/>
      <c r="D22" s="29"/>
      <c r="E22" s="4" t="str">
        <f>Planejamento!C7</f>
        <v>hora</v>
      </c>
      <c r="F22" s="4">
        <f>Planejamento!D7</f>
        <v>0</v>
      </c>
      <c r="G22" s="30"/>
      <c r="H22" s="14">
        <f>Planejamento!N7</f>
        <v>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.75" hidden="1" customHeight="1">
      <c r="A23" s="24"/>
      <c r="B23" s="22" t="str">
        <f>Planejamento!B8</f>
        <v xml:space="preserve">ajudante </v>
      </c>
      <c r="C23" s="22"/>
      <c r="D23" s="22"/>
      <c r="E23" s="4" t="str">
        <f>Planejamento!C8</f>
        <v>unidade</v>
      </c>
      <c r="F23" s="4">
        <f>Planejamento!D8</f>
        <v>0</v>
      </c>
      <c r="G23" s="32"/>
      <c r="H23" s="14">
        <f>Planejamento!N8</f>
        <v>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.75" hidden="1" customHeight="1">
      <c r="A24" s="24"/>
      <c r="B24" s="22" t="str">
        <f>Planejamento!B9</f>
        <v xml:space="preserve">encarregado </v>
      </c>
      <c r="C24" s="22"/>
      <c r="D24" s="22"/>
      <c r="E24" s="4" t="str">
        <f>Planejamento!C9</f>
        <v>unidade</v>
      </c>
      <c r="F24" s="4">
        <f>Planejamento!D9</f>
        <v>0</v>
      </c>
      <c r="G24" s="32"/>
      <c r="H24" s="14">
        <f>Planejamento!N9</f>
        <v>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.75" hidden="1" customHeight="1">
      <c r="A25" s="24"/>
      <c r="B25" s="22" t="str">
        <f>Planejamento!B10</f>
        <v xml:space="preserve">engenheiro </v>
      </c>
      <c r="C25" s="22"/>
      <c r="D25" s="22"/>
      <c r="E25" s="4" t="str">
        <f>Planejamento!C10</f>
        <v>unidade</v>
      </c>
      <c r="F25" s="4">
        <f>Planejamento!D10</f>
        <v>0</v>
      </c>
      <c r="G25" s="32"/>
      <c r="H25" s="14">
        <f>Planejamento!N10</f>
        <v>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.75" customHeight="1">
      <c r="A26" s="24"/>
      <c r="B26" s="22" t="str">
        <f>Planejamento!B11</f>
        <v xml:space="preserve">limpeza recorrente   </v>
      </c>
      <c r="C26" s="24"/>
      <c r="D26" s="24"/>
      <c r="E26" s="4" t="str">
        <f>Planejamento!C11</f>
        <v>unidade</v>
      </c>
      <c r="F26" s="4">
        <f>Planejamento!D11</f>
        <v>36</v>
      </c>
      <c r="G26" s="24"/>
      <c r="H26" s="14">
        <f>Planejamento!N11</f>
        <v>854.32752000000005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75" customHeight="1">
      <c r="A27" s="24"/>
      <c r="B27" s="22"/>
      <c r="C27" s="24"/>
      <c r="D27" s="24"/>
      <c r="E27" s="24"/>
      <c r="F27" s="22"/>
      <c r="G27" s="24"/>
      <c r="H27" s="3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.75" customHeight="1">
      <c r="A28" s="5"/>
      <c r="B28" s="11" t="s">
        <v>10</v>
      </c>
      <c r="C28" s="12"/>
      <c r="D28" s="12"/>
      <c r="E28" s="12"/>
      <c r="F28" s="13">
        <f>H28*100/(G199)</f>
        <v>5.1132033872770233</v>
      </c>
      <c r="G28" s="13" t="s">
        <v>5</v>
      </c>
      <c r="H28" s="14">
        <f>SUM(H32:H45)</f>
        <v>1463.4313999999999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4.4">
      <c r="A29" s="5"/>
      <c r="B29" s="26"/>
      <c r="C29" s="27"/>
      <c r="D29" s="27"/>
      <c r="E29" s="17"/>
      <c r="F29" s="15"/>
      <c r="G29" s="15"/>
      <c r="H29" s="18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2" customHeight="1">
      <c r="A30" s="5"/>
      <c r="B30" s="28"/>
      <c r="C30" s="29"/>
      <c r="D30" s="29"/>
      <c r="E30" s="4" t="s">
        <v>7</v>
      </c>
      <c r="F30" s="4" t="s">
        <v>8</v>
      </c>
      <c r="G30" s="30"/>
      <c r="H30" s="3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.75" customHeight="1">
      <c r="A31" s="5"/>
      <c r="B31" s="22"/>
      <c r="C31" s="24"/>
      <c r="D31" s="24"/>
      <c r="E31" s="34"/>
      <c r="F31" s="35"/>
      <c r="G31" s="35"/>
      <c r="H31" s="3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.75" hidden="1" customHeight="1">
      <c r="A32" s="5"/>
      <c r="B32" s="22" t="str">
        <f>Planejamento!B12</f>
        <v>saco para entulho*</v>
      </c>
      <c r="C32" s="24"/>
      <c r="D32" s="24"/>
      <c r="E32" s="4" t="str">
        <f>Planejamento!C12</f>
        <v>unidade</v>
      </c>
      <c r="F32" s="4">
        <f>Planejamento!D12</f>
        <v>0</v>
      </c>
      <c r="G32" s="35"/>
      <c r="H32" s="14">
        <f>Planejamento!N12</f>
        <v>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.75" hidden="1" customHeight="1">
      <c r="A33" s="5"/>
      <c r="B33" s="22" t="str">
        <f>Planejamento!B13</f>
        <v xml:space="preserve">demolição de alvenaria </v>
      </c>
      <c r="C33" s="24"/>
      <c r="D33" s="24"/>
      <c r="E33" s="4" t="str">
        <f>Planejamento!C13</f>
        <v>m²</v>
      </c>
      <c r="F33" s="4">
        <f>Planejamento!D13</f>
        <v>0</v>
      </c>
      <c r="G33" s="35"/>
      <c r="H33" s="14">
        <f>Planejamento!N13</f>
        <v>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" hidden="1" customHeight="1">
      <c r="A34" s="5"/>
      <c r="B34" s="22" t="str">
        <f>Planejamento!B14</f>
        <v xml:space="preserve">demolição e remocação de teto drywall </v>
      </c>
      <c r="C34" s="24"/>
      <c r="D34" s="24"/>
      <c r="E34" s="4" t="str">
        <f>Planejamento!C14</f>
        <v>m²</v>
      </c>
      <c r="F34" s="4">
        <f>Planejamento!D14</f>
        <v>0</v>
      </c>
      <c r="G34" s="35"/>
      <c r="H34" s="14">
        <f>Planejamento!N14</f>
        <v>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.75" customHeight="1">
      <c r="A35" s="5"/>
      <c r="B35" s="22" t="str">
        <f>Planejamento!B15</f>
        <v xml:space="preserve">equipe para retirada de entulho </v>
      </c>
      <c r="C35" s="24"/>
      <c r="D35" s="24"/>
      <c r="E35" s="4" t="str">
        <f>Planejamento!C15</f>
        <v>unidade</v>
      </c>
      <c r="F35" s="4">
        <f>Planejamento!D15</f>
        <v>36</v>
      </c>
      <c r="G35" s="35"/>
      <c r="H35" s="14">
        <f>Planejamento!N15</f>
        <v>1067.9094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.75" hidden="1" customHeight="1">
      <c r="A36" s="5"/>
      <c r="B36" s="22" t="str">
        <f>Planejamento!B16</f>
        <v>caçamba de entulho*</v>
      </c>
      <c r="C36" s="24"/>
      <c r="D36" s="24"/>
      <c r="E36" s="4" t="str">
        <f>Planejamento!C16</f>
        <v>unidade</v>
      </c>
      <c r="F36" s="4">
        <f>Planejamento!D16</f>
        <v>0</v>
      </c>
      <c r="G36" s="35"/>
      <c r="H36" s="14">
        <f>Planejamento!N16</f>
        <v>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.75" hidden="1" customHeight="1">
      <c r="A37" s="5"/>
      <c r="B37" s="22" t="str">
        <f>Planejamento!B17</f>
        <v>remoção de pisos</v>
      </c>
      <c r="C37" s="24"/>
      <c r="D37" s="24"/>
      <c r="E37" s="4" t="str">
        <f>Planejamento!C17</f>
        <v>unidade</v>
      </c>
      <c r="F37" s="4">
        <f>Planejamento!D17</f>
        <v>0</v>
      </c>
      <c r="G37" s="35"/>
      <c r="H37" s="14">
        <f>Planejamento!N17</f>
        <v>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.75" hidden="1" customHeight="1">
      <c r="A38" s="5"/>
      <c r="B38" s="22" t="str">
        <f>Planejamento!B18</f>
        <v xml:space="preserve">remoção de caxilhos e portas </v>
      </c>
      <c r="C38" s="24"/>
      <c r="D38" s="24"/>
      <c r="E38" s="4" t="str">
        <f>Planejamento!C18</f>
        <v>unidade</v>
      </c>
      <c r="F38" s="4">
        <f>Planejamento!D18</f>
        <v>0</v>
      </c>
      <c r="G38" s="35"/>
      <c r="H38" s="14">
        <f>Planejamento!N18</f>
        <v>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hidden="1" customHeight="1">
      <c r="A39" s="5"/>
      <c r="B39" s="22" t="str">
        <f>Planejamento!B19</f>
        <v>remoções de portas e batentes</v>
      </c>
      <c r="C39" s="24"/>
      <c r="D39" s="24"/>
      <c r="E39" s="4" t="str">
        <f>Planejamento!C19</f>
        <v>unidade</v>
      </c>
      <c r="F39" s="4">
        <f>Planejamento!D19</f>
        <v>0</v>
      </c>
      <c r="G39" s="35"/>
      <c r="H39" s="14">
        <f>Planejamento!N19</f>
        <v>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.75" customHeight="1">
      <c r="A40" s="5"/>
      <c r="B40" s="22" t="str">
        <f>Planejamento!B20</f>
        <v xml:space="preserve">remoção de bancada de cozinha </v>
      </c>
      <c r="C40" s="24"/>
      <c r="D40" s="24"/>
      <c r="E40" s="4" t="str">
        <f>Planejamento!C20</f>
        <v>unidade</v>
      </c>
      <c r="F40" s="4">
        <f>Planejamento!D20</f>
        <v>1</v>
      </c>
      <c r="G40" s="35"/>
      <c r="H40" s="14">
        <f>Planejamento!N20</f>
        <v>197.761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.75" hidden="1" customHeight="1">
      <c r="A41" s="5"/>
      <c r="B41" s="22" t="str">
        <f>Planejamento!B21</f>
        <v xml:space="preserve">remoção de tanque </v>
      </c>
      <c r="C41" s="24"/>
      <c r="D41" s="24"/>
      <c r="E41" s="4" t="str">
        <f>Planejamento!C21</f>
        <v>unidade</v>
      </c>
      <c r="F41" s="4">
        <f>Planejamento!D21</f>
        <v>0</v>
      </c>
      <c r="G41" s="35"/>
      <c r="H41" s="14">
        <f>Planejamento!N21</f>
        <v>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.75" hidden="1" customHeight="1">
      <c r="A42" s="5"/>
      <c r="B42" s="22" t="str">
        <f>Planejamento!B22</f>
        <v xml:space="preserve">remoção de bacias sanitárias  </v>
      </c>
      <c r="C42" s="24"/>
      <c r="D42" s="24"/>
      <c r="E42" s="4" t="str">
        <f>Planejamento!C22</f>
        <v>unidade</v>
      </c>
      <c r="F42" s="4">
        <f>Planejamento!D22</f>
        <v>0</v>
      </c>
      <c r="G42" s="35"/>
      <c r="H42" s="14">
        <f>Planejamento!N22</f>
        <v>0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.75" hidden="1" customHeight="1">
      <c r="A43" s="5"/>
      <c r="B43" s="22" t="str">
        <f>Planejamento!B23</f>
        <v>remoção de torneira</v>
      </c>
      <c r="C43" s="24"/>
      <c r="D43" s="24"/>
      <c r="E43" s="4" t="str">
        <f>Planejamento!C23</f>
        <v>unidade</v>
      </c>
      <c r="F43" s="4">
        <f>Planejamento!D23</f>
        <v>0</v>
      </c>
      <c r="G43" s="35"/>
      <c r="H43" s="14">
        <f>Planejamento!N23</f>
        <v>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customHeight="1">
      <c r="A44" s="5"/>
      <c r="B44" s="22" t="str">
        <f>Planejamento!B24</f>
        <v xml:space="preserve">remoção de bancada de banheiro </v>
      </c>
      <c r="C44" s="24"/>
      <c r="D44" s="24"/>
      <c r="E44" s="4" t="str">
        <f>Planejamento!C24</f>
        <v>unidade</v>
      </c>
      <c r="F44" s="4">
        <f>Planejamento!D24</f>
        <v>1</v>
      </c>
      <c r="G44" s="35"/>
      <c r="H44" s="14">
        <f>Planejamento!N24</f>
        <v>197.761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.75" hidden="1" customHeight="1">
      <c r="A45" s="5"/>
      <c r="B45" s="22" t="str">
        <f>Planejamento!B25</f>
        <v>armários com descarte</v>
      </c>
      <c r="C45" s="24"/>
      <c r="D45" s="24"/>
      <c r="E45" s="4" t="str">
        <f>Planejamento!C25</f>
        <v>unidade</v>
      </c>
      <c r="F45" s="4">
        <f>Planejamento!D25</f>
        <v>0</v>
      </c>
      <c r="G45" s="35"/>
      <c r="H45" s="14">
        <f>Planejamento!N25</f>
        <v>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75" customHeight="1">
      <c r="A46" s="5"/>
      <c r="B46" s="24"/>
      <c r="C46" s="24"/>
      <c r="D46" s="24"/>
      <c r="E46" s="23"/>
      <c r="F46" s="35"/>
      <c r="G46" s="35"/>
      <c r="H46" s="25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75" customHeight="1">
      <c r="A47" s="5"/>
      <c r="B47" s="36" t="s">
        <v>11</v>
      </c>
      <c r="C47" s="12"/>
      <c r="D47" s="12"/>
      <c r="E47" s="12"/>
      <c r="F47" s="13">
        <f>H47*100/(G199)</f>
        <v>13.128495183549115</v>
      </c>
      <c r="G47" s="13" t="s">
        <v>5</v>
      </c>
      <c r="H47" s="14">
        <f>SUM(H51:H54)</f>
        <v>3757.4589999999994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4.4">
      <c r="A48" s="5"/>
      <c r="B48" s="26"/>
      <c r="C48" s="27"/>
      <c r="D48" s="27"/>
      <c r="E48" s="17"/>
      <c r="F48" s="15"/>
      <c r="G48" s="15"/>
      <c r="H48" s="25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2" customHeight="1">
      <c r="A49" s="5"/>
      <c r="B49" s="28"/>
      <c r="C49" s="29"/>
      <c r="D49" s="29"/>
      <c r="E49" s="4" t="s">
        <v>7</v>
      </c>
      <c r="F49" s="4" t="s">
        <v>8</v>
      </c>
      <c r="G49" s="30"/>
      <c r="H49" s="33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.75" customHeight="1">
      <c r="A50" s="5"/>
      <c r="B50" s="24"/>
      <c r="C50" s="24"/>
      <c r="D50" s="24"/>
      <c r="E50" s="24"/>
      <c r="F50" s="24"/>
      <c r="G50" s="24"/>
      <c r="H50" s="33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75" customHeight="1">
      <c r="A51" s="5"/>
      <c r="B51" s="22" t="str">
        <f>Planejamento!B26</f>
        <v xml:space="preserve">tubulação para equipamentos de 9 mil a 12 mil btus  </v>
      </c>
      <c r="C51" s="22"/>
      <c r="D51" s="4"/>
      <c r="E51" s="4" t="str">
        <f>Planejamento!C26</f>
        <v>ml</v>
      </c>
      <c r="F51" s="4">
        <f>Planejamento!D26</f>
        <v>10</v>
      </c>
      <c r="G51" s="37"/>
      <c r="H51" s="14">
        <f>Planejamento!N26</f>
        <v>2768.6539999999995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75" hidden="1" customHeight="1">
      <c r="A52" s="5"/>
      <c r="B52" s="22" t="str">
        <f>Planejamento!B27</f>
        <v xml:space="preserve">tubulação para equipamentos de 18 mil a 24 mil btus  </v>
      </c>
      <c r="C52" s="22"/>
      <c r="D52" s="4"/>
      <c r="E52" s="4" t="str">
        <f>Planejamento!C27</f>
        <v>ml</v>
      </c>
      <c r="F52" s="4">
        <f>Planejamento!D27</f>
        <v>0</v>
      </c>
      <c r="G52" s="37"/>
      <c r="H52" s="14">
        <f>Planejamento!N27</f>
        <v>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75" customHeight="1">
      <c r="A53" s="5"/>
      <c r="B53" s="22" t="str">
        <f>Planejamento!B28</f>
        <v xml:space="preserve">drenos  </v>
      </c>
      <c r="C53" s="22"/>
      <c r="D53" s="4"/>
      <c r="E53" s="4" t="str">
        <f>Planejamento!C28</f>
        <v>unidade</v>
      </c>
      <c r="F53" s="4">
        <f>Planejamento!D28</f>
        <v>1</v>
      </c>
      <c r="G53" s="37"/>
      <c r="H53" s="14">
        <f>Planejamento!N28</f>
        <v>395.52199999999999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75" customHeight="1">
      <c r="A54" s="5"/>
      <c r="B54" s="22" t="str">
        <f>Planejamento!B29</f>
        <v xml:space="preserve">acoplamento dos equipamentos </v>
      </c>
      <c r="C54" s="38"/>
      <c r="D54" s="39"/>
      <c r="E54" s="4" t="str">
        <f>Planejamento!C29</f>
        <v>unidade</v>
      </c>
      <c r="F54" s="4">
        <f>Planejamento!D29</f>
        <v>1</v>
      </c>
      <c r="G54" s="40"/>
      <c r="H54" s="14">
        <f>Planejamento!N29</f>
        <v>593.28300000000002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75" customHeight="1">
      <c r="A55" s="5"/>
      <c r="B55" s="38"/>
      <c r="C55" s="38"/>
      <c r="D55" s="38"/>
      <c r="E55" s="41"/>
      <c r="F55" s="40"/>
      <c r="G55" s="40"/>
      <c r="H55" s="4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75" customHeight="1">
      <c r="A56" s="5"/>
      <c r="B56" s="36" t="s">
        <v>12</v>
      </c>
      <c r="C56" s="12"/>
      <c r="D56" s="12"/>
      <c r="E56" s="12"/>
      <c r="F56" s="13">
        <f>H56*100/(G199)</f>
        <v>6.4951502487032471</v>
      </c>
      <c r="G56" s="13" t="s">
        <v>5</v>
      </c>
      <c r="H56" s="14">
        <f>SUM(H60:H77)</f>
        <v>1858.9533999999999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75" customHeight="1">
      <c r="A57" s="5"/>
      <c r="B57" s="26"/>
      <c r="C57" s="27"/>
      <c r="D57" s="27"/>
      <c r="E57" s="17"/>
      <c r="F57" s="15"/>
      <c r="G57" s="15"/>
      <c r="H57" s="33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customHeight="1">
      <c r="A58" s="5"/>
      <c r="B58" s="28"/>
      <c r="C58" s="29"/>
      <c r="D58" s="29"/>
      <c r="E58" s="4" t="s">
        <v>7</v>
      </c>
      <c r="F58" s="4" t="s">
        <v>8</v>
      </c>
      <c r="G58" s="30"/>
      <c r="H58" s="33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.75" customHeight="1">
      <c r="A59" s="5"/>
      <c r="B59" s="24"/>
      <c r="C59" s="24"/>
      <c r="D59" s="24"/>
      <c r="E59" s="24"/>
      <c r="F59" s="24"/>
      <c r="G59" s="24"/>
      <c r="H59" s="18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hidden="1" customHeight="1">
      <c r="A60" s="5"/>
      <c r="B60" s="22" t="str">
        <f>Planejamento!B30</f>
        <v>alteração de quadro elétrico</v>
      </c>
      <c r="C60" s="38"/>
      <c r="D60" s="39"/>
      <c r="E60" s="4" t="str">
        <f>Planejamento!C30</f>
        <v>unidade</v>
      </c>
      <c r="F60" s="4">
        <f>Planejamento!D30</f>
        <v>0</v>
      </c>
      <c r="G60" s="40"/>
      <c r="H60" s="14">
        <f>Planejamento!N30</f>
        <v>0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hidden="1" customHeight="1">
      <c r="A61" s="5"/>
      <c r="B61" s="22" t="str">
        <f>Planejamento!B31</f>
        <v xml:space="preserve">instalação de balizador  </v>
      </c>
      <c r="C61" s="38"/>
      <c r="D61" s="39"/>
      <c r="E61" s="4" t="str">
        <f>Planejamento!C41</f>
        <v>unidade</v>
      </c>
      <c r="F61" s="4">
        <f>Planejamento!D31</f>
        <v>0</v>
      </c>
      <c r="G61" s="40"/>
      <c r="H61" s="14">
        <f>Planejamento!N31</f>
        <v>0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hidden="1" customHeight="1">
      <c r="A62" s="5"/>
      <c r="B62" s="22" t="str">
        <f>Planejamento!B32</f>
        <v xml:space="preserve">instalação de fita de led  </v>
      </c>
      <c r="C62" s="38"/>
      <c r="D62" s="39"/>
      <c r="E62" s="4" t="str">
        <f>Planejamento!C31</f>
        <v>unidade</v>
      </c>
      <c r="F62" s="4">
        <f>Planejamento!D32</f>
        <v>0</v>
      </c>
      <c r="G62" s="40"/>
      <c r="H62" s="14">
        <f>Planejamento!N32</f>
        <v>0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hidden="1" customHeight="1">
      <c r="A63" s="5"/>
      <c r="B63" s="22" t="str">
        <f>Planejamento!B33</f>
        <v xml:space="preserve">instalação de luminárias especiais </v>
      </c>
      <c r="C63" s="38"/>
      <c r="D63" s="39"/>
      <c r="E63" s="4" t="str">
        <f>Planejamento!C32</f>
        <v>unidade</v>
      </c>
      <c r="F63" s="4">
        <f>Planejamento!D33</f>
        <v>0</v>
      </c>
      <c r="G63" s="40"/>
      <c r="H63" s="14">
        <f>Planejamento!N33</f>
        <v>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hidden="1" customHeight="1">
      <c r="A64" s="5"/>
      <c r="B64" s="22" t="str">
        <f>Planejamento!B34</f>
        <v>instalação de lustre</v>
      </c>
      <c r="C64" s="38"/>
      <c r="D64" s="39"/>
      <c r="E64" s="4" t="str">
        <f>Planejamento!C42</f>
        <v>unidade</v>
      </c>
      <c r="F64" s="4">
        <f>Planejamento!D34</f>
        <v>0</v>
      </c>
      <c r="G64" s="40"/>
      <c r="H64" s="14">
        <f>Planejamento!N34</f>
        <v>0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hidden="1" customHeight="1">
      <c r="A65" s="5"/>
      <c r="B65" s="22" t="str">
        <f>Planejamento!B35</f>
        <v>instalação de pendente</v>
      </c>
      <c r="C65" s="38"/>
      <c r="D65" s="39"/>
      <c r="E65" s="4" t="str">
        <f>Planejamento!C33</f>
        <v>unidade</v>
      </c>
      <c r="F65" s="4">
        <f>Planejamento!D35</f>
        <v>0</v>
      </c>
      <c r="G65" s="40"/>
      <c r="H65" s="14">
        <f>Planejamento!N35</f>
        <v>0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hidden="1" customHeight="1">
      <c r="A66" s="5"/>
      <c r="B66" s="22" t="str">
        <f>Planejamento!B36</f>
        <v xml:space="preserve">interruptor intermediário </v>
      </c>
      <c r="C66" s="38"/>
      <c r="D66" s="39"/>
      <c r="E66" s="4" t="str">
        <f>Planejamento!C34</f>
        <v>unidade</v>
      </c>
      <c r="F66" s="4">
        <f>Planejamento!D36</f>
        <v>0</v>
      </c>
      <c r="G66" s="40"/>
      <c r="H66" s="14">
        <f>Planejamento!N36</f>
        <v>0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hidden="1" customHeight="1">
      <c r="A67" s="5"/>
      <c r="B67" s="22" t="str">
        <f>Planejamento!B37</f>
        <v xml:space="preserve">interruptor paralelo </v>
      </c>
      <c r="C67" s="38"/>
      <c r="D67" s="39"/>
      <c r="E67" s="4" t="str">
        <f>Planejamento!C35</f>
        <v>unidade</v>
      </c>
      <c r="F67" s="4">
        <f>Planejamento!D37</f>
        <v>0</v>
      </c>
      <c r="G67" s="40"/>
      <c r="H67" s="14">
        <f>Planejamento!N37</f>
        <v>0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hidden="1" customHeight="1">
      <c r="A68" s="5"/>
      <c r="B68" s="22" t="str">
        <f>Planejamento!B38</f>
        <v xml:space="preserve">interruptor simples  </v>
      </c>
      <c r="C68" s="38"/>
      <c r="D68" s="39"/>
      <c r="E68" s="4" t="str">
        <f>Planejamento!C36</f>
        <v>unidade</v>
      </c>
      <c r="F68" s="4">
        <f>Planejamento!D38</f>
        <v>0</v>
      </c>
      <c r="G68" s="40"/>
      <c r="H68" s="14">
        <f>Planejamento!N38</f>
        <v>0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hidden="1" customHeight="1">
      <c r="A69" s="5"/>
      <c r="B69" s="22" t="str">
        <f>Planejamento!B39</f>
        <v xml:space="preserve">ponto de balizador </v>
      </c>
      <c r="C69" s="38"/>
      <c r="D69" s="39"/>
      <c r="E69" s="4" t="str">
        <f>Planejamento!C37</f>
        <v>unidade</v>
      </c>
      <c r="F69" s="4">
        <f>Planejamento!D39</f>
        <v>0</v>
      </c>
      <c r="G69" s="40"/>
      <c r="H69" s="14">
        <f>Planejamento!N39</f>
        <v>0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hidden="1" customHeight="1">
      <c r="A70" s="5"/>
      <c r="B70" s="22" t="str">
        <f>Planejamento!B40</f>
        <v xml:space="preserve">ponto de energia para motorização </v>
      </c>
      <c r="C70" s="38"/>
      <c r="D70" s="39"/>
      <c r="E70" s="4" t="str">
        <f>Planejamento!C38</f>
        <v>unidade</v>
      </c>
      <c r="F70" s="4">
        <f>Planejamento!D40</f>
        <v>0</v>
      </c>
      <c r="G70" s="40"/>
      <c r="H70" s="14">
        <f>Planejamento!N40</f>
        <v>0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hidden="1" customHeight="1">
      <c r="A71" s="5"/>
      <c r="B71" s="22" t="str">
        <f>Planejamento!B41</f>
        <v xml:space="preserve">furação e recorte para luminárias </v>
      </c>
      <c r="C71" s="38"/>
      <c r="D71" s="39"/>
      <c r="E71" s="4" t="str">
        <f>Planejamento!C39</f>
        <v>unidade</v>
      </c>
      <c r="F71" s="4">
        <f>Planejamento!D41</f>
        <v>0</v>
      </c>
      <c r="G71" s="40"/>
      <c r="H71" s="14">
        <f>Planejamento!N41</f>
        <v>0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>
      <c r="A72" s="5"/>
      <c r="B72" s="22" t="str">
        <f>Planejamento!B42</f>
        <v xml:space="preserve">instalação de luminárias </v>
      </c>
      <c r="C72" s="38"/>
      <c r="D72" s="39"/>
      <c r="E72" s="4" t="str">
        <f>Planejamento!C40</f>
        <v>unidade</v>
      </c>
      <c r="F72" s="4">
        <f>Planejamento!D42</f>
        <v>12</v>
      </c>
      <c r="G72" s="40"/>
      <c r="H72" s="14">
        <f>Planejamento!N42</f>
        <v>1186.566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>
      <c r="A73" s="5"/>
      <c r="B73" s="22" t="str">
        <f>Planejamento!B43</f>
        <v xml:space="preserve">ponto de iluminação </v>
      </c>
      <c r="C73" s="38"/>
      <c r="D73" s="39"/>
      <c r="E73" s="4" t="str">
        <f>Planejamento!C43</f>
        <v>unidade</v>
      </c>
      <c r="F73" s="4">
        <f>Planejamento!D43</f>
        <v>2</v>
      </c>
      <c r="G73" s="40"/>
      <c r="H73" s="14">
        <f>Planejamento!N43</f>
        <v>474.62639999999999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hidden="1" customHeight="1">
      <c r="A74" s="5"/>
      <c r="B74" s="22" t="str">
        <f>Planejamento!B44</f>
        <v>ponto de tomada 110v</v>
      </c>
      <c r="C74" s="38"/>
      <c r="D74" s="39"/>
      <c r="E74" s="4" t="str">
        <f>Planejamento!C48</f>
        <v>unidade</v>
      </c>
      <c r="F74" s="4">
        <f>Planejamento!D44</f>
        <v>0</v>
      </c>
      <c r="G74" s="40"/>
      <c r="H74" s="14">
        <f>Planejamento!N44</f>
        <v>0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hidden="1" customHeight="1">
      <c r="A75" s="5"/>
      <c r="B75" s="22" t="str">
        <f>Planejamento!B45</f>
        <v>ponto de tomada 220v</v>
      </c>
      <c r="C75" s="38"/>
      <c r="D75" s="39"/>
      <c r="E75" s="4" t="str">
        <f>Planejamento!C44</f>
        <v>unidade</v>
      </c>
      <c r="F75" s="4">
        <f>Planejamento!D45</f>
        <v>0</v>
      </c>
      <c r="G75" s="40"/>
      <c r="H75" s="14">
        <f>Planejamento!N45</f>
        <v>0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hidden="1" customHeight="1">
      <c r="A76" s="5"/>
      <c r="B76" s="22" t="str">
        <f>Planejamento!B46</f>
        <v xml:space="preserve">ponto de tomada 220v circuito independente  </v>
      </c>
      <c r="C76" s="38"/>
      <c r="D76" s="39"/>
      <c r="E76" s="4" t="str">
        <f>Planejamento!C45</f>
        <v>unidade</v>
      </c>
      <c r="F76" s="4">
        <f>Planejamento!D46</f>
        <v>0</v>
      </c>
      <c r="G76" s="40"/>
      <c r="H76" s="14">
        <f>Planejamento!N46</f>
        <v>0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>
      <c r="A77" s="5"/>
      <c r="B77" s="22" t="str">
        <f>Planejamento!B47</f>
        <v xml:space="preserve">ponto para led  </v>
      </c>
      <c r="C77" s="38"/>
      <c r="D77" s="39"/>
      <c r="E77" s="4" t="str">
        <f>Planejamento!C46</f>
        <v>unidade</v>
      </c>
      <c r="F77" s="4">
        <f>Planejamento!D47</f>
        <v>1</v>
      </c>
      <c r="G77" s="40"/>
      <c r="H77" s="14">
        <f>Planejamento!N47</f>
        <v>197.761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>
      <c r="A78" s="5"/>
      <c r="B78" s="24"/>
      <c r="C78" s="24"/>
      <c r="D78" s="24"/>
      <c r="E78" s="21"/>
      <c r="F78" s="22"/>
      <c r="G78" s="22"/>
      <c r="H78" s="1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hidden="1" customHeight="1">
      <c r="A79" s="5"/>
      <c r="B79" s="36" t="s">
        <v>13</v>
      </c>
      <c r="C79" s="12"/>
      <c r="D79" s="12"/>
      <c r="E79" s="12"/>
      <c r="F79" s="13">
        <f>H79*100/(G199)</f>
        <v>0</v>
      </c>
      <c r="G79" s="13" t="s">
        <v>5</v>
      </c>
      <c r="H79" s="14">
        <f>SUM(H83:H91)</f>
        <v>0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hidden="1" customHeight="1">
      <c r="A80" s="5"/>
      <c r="B80" s="43"/>
      <c r="C80" s="44"/>
      <c r="D80" s="44"/>
      <c r="E80" s="45"/>
      <c r="F80" s="46"/>
      <c r="G80" s="46"/>
      <c r="H80" s="33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hidden="1" customHeight="1">
      <c r="A81" s="5"/>
      <c r="B81" s="28"/>
      <c r="C81" s="29"/>
      <c r="D81" s="29"/>
      <c r="E81" s="47" t="s">
        <v>7</v>
      </c>
      <c r="F81" s="47" t="s">
        <v>8</v>
      </c>
      <c r="G81" s="30"/>
      <c r="H81" s="33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hidden="1" customHeight="1">
      <c r="A82" s="5"/>
      <c r="B82" s="24"/>
      <c r="C82" s="24"/>
      <c r="D82" s="24"/>
      <c r="E82" s="21"/>
      <c r="F82" s="22"/>
      <c r="G82" s="22"/>
      <c r="H82" s="18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hidden="1" customHeight="1">
      <c r="A83" s="5"/>
      <c r="B83" s="22" t="str">
        <f>Planejamento!B48</f>
        <v xml:space="preserve">ponto de internet </v>
      </c>
      <c r="C83" s="38"/>
      <c r="D83" s="39"/>
      <c r="E83" s="4" t="str">
        <f>Planejamento!C48</f>
        <v>unidade</v>
      </c>
      <c r="F83" s="4">
        <f>Planejamento!D48</f>
        <v>0</v>
      </c>
      <c r="G83" s="4"/>
      <c r="H83" s="14">
        <f>Planejamento!N48</f>
        <v>0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hidden="1" customHeight="1">
      <c r="A84" s="5"/>
      <c r="B84" s="22" t="str">
        <f>Planejamento!B49</f>
        <v xml:space="preserve">ponto de som  </v>
      </c>
      <c r="C84" s="38"/>
      <c r="D84" s="39"/>
      <c r="E84" s="4" t="str">
        <f>Planejamento!C49</f>
        <v>unidade</v>
      </c>
      <c r="F84" s="4">
        <f>Planejamento!D49</f>
        <v>0</v>
      </c>
      <c r="G84" s="4"/>
      <c r="H84" s="14">
        <f>Planejamento!N49</f>
        <v>0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hidden="1" customHeight="1">
      <c r="A85" s="5"/>
      <c r="B85" s="22" t="str">
        <f>Planejamento!B50</f>
        <v xml:space="preserve">ponto de wifi  </v>
      </c>
      <c r="C85" s="38"/>
      <c r="D85" s="39"/>
      <c r="E85" s="4" t="str">
        <f>Planejamento!C50</f>
        <v>unidade</v>
      </c>
      <c r="F85" s="4">
        <f>Planejamento!D50</f>
        <v>0</v>
      </c>
      <c r="G85" s="4"/>
      <c r="H85" s="14">
        <f>Planejamento!N50</f>
        <v>0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hidden="1" customHeight="1">
      <c r="A86" s="5"/>
      <c r="B86" s="22" t="str">
        <f>Planejamento!B51</f>
        <v xml:space="preserve">pontos de automação </v>
      </c>
      <c r="C86" s="38"/>
      <c r="D86" s="39"/>
      <c r="E86" s="4" t="str">
        <f>Planejamento!C51</f>
        <v>unidade</v>
      </c>
      <c r="F86" s="4">
        <f>Planejamento!D51</f>
        <v>0</v>
      </c>
      <c r="G86" s="4"/>
      <c r="H86" s="14">
        <f>Planejamento!N51</f>
        <v>0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hidden="1" customHeight="1">
      <c r="A87" s="5"/>
      <c r="B87" s="22" t="str">
        <f>Planejamento!B52</f>
        <v xml:space="preserve">pontos de automação para audio </v>
      </c>
      <c r="C87" s="38"/>
      <c r="D87" s="39"/>
      <c r="E87" s="4" t="str">
        <f>Planejamento!C52</f>
        <v>unidade</v>
      </c>
      <c r="F87" s="4">
        <f>Planejamento!D52</f>
        <v>0</v>
      </c>
      <c r="G87" s="4"/>
      <c r="H87" s="14">
        <f>Planejamento!N52</f>
        <v>0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hidden="1" customHeight="1">
      <c r="A88" s="5"/>
      <c r="B88" s="22" t="str">
        <f>Planejamento!B53</f>
        <v xml:space="preserve">pontos de automação para luminárias </v>
      </c>
      <c r="C88" s="38"/>
      <c r="D88" s="39"/>
      <c r="E88" s="4" t="str">
        <f>Planejamento!C53</f>
        <v>unidade</v>
      </c>
      <c r="F88" s="4">
        <f>Planejamento!D53</f>
        <v>0</v>
      </c>
      <c r="G88" s="4"/>
      <c r="H88" s="14">
        <f>Planejamento!N53</f>
        <v>0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hidden="1" customHeight="1">
      <c r="A89" s="5"/>
      <c r="B89" s="22" t="str">
        <f>Planejamento!B54</f>
        <v>pontos de automação para video</v>
      </c>
      <c r="C89" s="38"/>
      <c r="D89" s="39"/>
      <c r="E89" s="4" t="str">
        <f>Planejamento!C54</f>
        <v>unidade</v>
      </c>
      <c r="F89" s="4">
        <f>Planejamento!D54</f>
        <v>0</v>
      </c>
      <c r="G89" s="4"/>
      <c r="H89" s="14">
        <f>Planejamento!N54</f>
        <v>0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hidden="1" customHeight="1">
      <c r="A90" s="5"/>
      <c r="B90" s="22" t="str">
        <f>Planejamento!B55</f>
        <v xml:space="preserve">quadro de automação </v>
      </c>
      <c r="C90" s="38"/>
      <c r="D90" s="39"/>
      <c r="E90" s="4" t="str">
        <f>Planejamento!C55</f>
        <v>unidade</v>
      </c>
      <c r="F90" s="4">
        <f>Planejamento!D55</f>
        <v>0</v>
      </c>
      <c r="G90" s="4"/>
      <c r="H90" s="14">
        <f>Planejamento!N55</f>
        <v>0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hidden="1" customHeight="1">
      <c r="A91" s="5"/>
      <c r="B91" s="22" t="str">
        <f>Planejamento!B56</f>
        <v xml:space="preserve">retornos para automação  </v>
      </c>
      <c r="C91" s="38"/>
      <c r="D91" s="39"/>
      <c r="E91" s="4" t="str">
        <f>Planejamento!C56</f>
        <v>unidade</v>
      </c>
      <c r="F91" s="4">
        <f>Planejamento!D56</f>
        <v>0</v>
      </c>
      <c r="G91" s="4"/>
      <c r="H91" s="14">
        <f>Planejamento!N56</f>
        <v>0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hidden="1" customHeight="1">
      <c r="A92" s="5"/>
      <c r="B92" s="24"/>
      <c r="C92" s="24"/>
      <c r="D92" s="24"/>
      <c r="E92" s="21"/>
      <c r="F92" s="22"/>
      <c r="G92" s="22"/>
      <c r="H92" s="18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>
      <c r="A93" s="5"/>
      <c r="B93" s="36" t="s">
        <v>14</v>
      </c>
      <c r="C93" s="12"/>
      <c r="D93" s="12"/>
      <c r="E93" s="12"/>
      <c r="F93" s="13">
        <f>H93*100/(G199)</f>
        <v>2.7638937228524454</v>
      </c>
      <c r="G93" s="13" t="s">
        <v>5</v>
      </c>
      <c r="H93" s="14">
        <f>SUM(H97:H106)</f>
        <v>791.04399999999998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>
      <c r="A94" s="5"/>
      <c r="B94" s="26"/>
      <c r="C94" s="27"/>
      <c r="D94" s="27"/>
      <c r="E94" s="17"/>
      <c r="F94" s="15"/>
      <c r="G94" s="15"/>
      <c r="H94" s="33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>
      <c r="A95" s="5"/>
      <c r="B95" s="28"/>
      <c r="C95" s="29"/>
      <c r="D95" s="29"/>
      <c r="E95" s="4" t="s">
        <v>7</v>
      </c>
      <c r="F95" s="4" t="s">
        <v>8</v>
      </c>
      <c r="G95" s="30"/>
      <c r="H95" s="33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>
      <c r="A96" s="5"/>
      <c r="B96" s="24"/>
      <c r="C96" s="24"/>
      <c r="D96" s="24"/>
      <c r="E96" s="21"/>
      <c r="F96" s="22"/>
      <c r="G96" s="22"/>
      <c r="H96" s="18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hidden="1" customHeight="1">
      <c r="A97" s="5"/>
      <c r="B97" s="24" t="str">
        <f>Planejamento!B57</f>
        <v xml:space="preserve">deslocamento de ponto de água quente ou fria  </v>
      </c>
      <c r="C97" s="24"/>
      <c r="D97" s="24"/>
      <c r="E97" s="21" t="str">
        <f>Planejamento!C57</f>
        <v>unidade</v>
      </c>
      <c r="F97" s="21">
        <f>Planejamento!D57</f>
        <v>0</v>
      </c>
      <c r="G97" s="22"/>
      <c r="H97" s="25">
        <f>Planejamento!N57</f>
        <v>0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>
      <c r="A98" s="5"/>
      <c r="B98" s="24" t="str">
        <f>Planejamento!B58</f>
        <v>deslocamento de ponto de esgoto para pia cozinha</v>
      </c>
      <c r="C98" s="24"/>
      <c r="D98" s="24"/>
      <c r="E98" s="21" t="str">
        <f>Planejamento!C58</f>
        <v>unidade</v>
      </c>
      <c r="F98" s="21">
        <f>Planejamento!D58</f>
        <v>2</v>
      </c>
      <c r="G98" s="22"/>
      <c r="H98" s="25">
        <f>Planejamento!N58</f>
        <v>791.04399999999998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hidden="1" customHeight="1">
      <c r="A99" s="5"/>
      <c r="B99" s="24" t="str">
        <f>Planejamento!B59</f>
        <v xml:space="preserve">eliminar ponto de água quente ou fria </v>
      </c>
      <c r="C99" s="24"/>
      <c r="D99" s="24"/>
      <c r="E99" s="21" t="str">
        <f>Planejamento!C59</f>
        <v>unidade</v>
      </c>
      <c r="F99" s="21">
        <f>Planejamento!D59</f>
        <v>0</v>
      </c>
      <c r="G99" s="22"/>
      <c r="H99" s="25">
        <f>Planejamento!N59</f>
        <v>0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hidden="1" customHeight="1">
      <c r="A100" s="5"/>
      <c r="B100" s="24" t="str">
        <f>Planejamento!B60</f>
        <v xml:space="preserve">eliminar ponto de esgoto </v>
      </c>
      <c r="C100" s="24"/>
      <c r="D100" s="24"/>
      <c r="E100" s="21" t="str">
        <f>Planejamento!C60</f>
        <v>unidade</v>
      </c>
      <c r="F100" s="21">
        <f>Planejamento!D60</f>
        <v>0</v>
      </c>
      <c r="G100" s="22"/>
      <c r="H100" s="25">
        <f>Planejamento!N60</f>
        <v>0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hidden="1" customHeight="1">
      <c r="A101" s="5"/>
      <c r="B101" s="24" t="str">
        <f>Planejamento!B61</f>
        <v xml:space="preserve">instalação base para monocomando </v>
      </c>
      <c r="C101" s="24"/>
      <c r="D101" s="24"/>
      <c r="E101" s="21" t="str">
        <f>Planejamento!C61</f>
        <v>unidade</v>
      </c>
      <c r="F101" s="21">
        <f>Planejamento!D61</f>
        <v>0</v>
      </c>
      <c r="G101" s="22"/>
      <c r="H101" s="25">
        <f>Planejamento!N61</f>
        <v>0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hidden="1" customHeight="1">
      <c r="A102" s="5"/>
      <c r="B102" s="24" t="str">
        <f>Planejamento!B62</f>
        <v xml:space="preserve">instalação de ralo linear quadrado </v>
      </c>
      <c r="C102" s="24"/>
      <c r="D102" s="24"/>
      <c r="E102" s="21" t="str">
        <f>Planejamento!C62</f>
        <v>unidade</v>
      </c>
      <c r="F102" s="21">
        <f>Planejamento!D62</f>
        <v>0</v>
      </c>
      <c r="G102" s="22"/>
      <c r="H102" s="25">
        <f>Planejamento!N62</f>
        <v>0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hidden="1" customHeight="1">
      <c r="A103" s="5"/>
      <c r="B103" s="24" t="str">
        <f>Planejamento!B63</f>
        <v xml:space="preserve">instalação de ralo linear retangular </v>
      </c>
      <c r="C103" s="24"/>
      <c r="D103" s="24"/>
      <c r="E103" s="21" t="str">
        <f>Planejamento!C63</f>
        <v>unidade</v>
      </c>
      <c r="F103" s="21">
        <f>Planejamento!D63</f>
        <v>0</v>
      </c>
      <c r="G103" s="22"/>
      <c r="H103" s="25">
        <f>Planejamento!N63</f>
        <v>0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hidden="1" customHeight="1">
      <c r="A104" s="5"/>
      <c r="B104" s="24" t="str">
        <f>Planejamento!B64</f>
        <v>instalação de registros</v>
      </c>
      <c r="C104" s="24"/>
      <c r="D104" s="24"/>
      <c r="E104" s="21" t="str">
        <f>Planejamento!C64</f>
        <v>unidade</v>
      </c>
      <c r="F104" s="21">
        <f>Planejamento!D64</f>
        <v>0</v>
      </c>
      <c r="G104" s="22"/>
      <c r="H104" s="25">
        <f>Planejamento!N64</f>
        <v>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hidden="1" customHeight="1">
      <c r="A105" s="5"/>
      <c r="B105" s="24" t="str">
        <f>Planejamento!B65</f>
        <v xml:space="preserve">novo ponto de água fria ou quente </v>
      </c>
      <c r="C105" s="24"/>
      <c r="D105" s="24"/>
      <c r="E105" s="21" t="str">
        <f>Planejamento!C65</f>
        <v>unidade</v>
      </c>
      <c r="F105" s="21">
        <f>Planejamento!D65</f>
        <v>0</v>
      </c>
      <c r="G105" s="22"/>
      <c r="H105" s="25">
        <f>Planejamento!N65</f>
        <v>0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hidden="1" customHeight="1">
      <c r="A106" s="5"/>
      <c r="B106" s="24" t="str">
        <f>Planejamento!B66</f>
        <v>novo ponto de esgoto</v>
      </c>
      <c r="C106" s="24"/>
      <c r="D106" s="24"/>
      <c r="E106" s="21" t="str">
        <f>Planejamento!C66</f>
        <v>unidade</v>
      </c>
      <c r="F106" s="21">
        <f>Planejamento!D66</f>
        <v>0</v>
      </c>
      <c r="G106" s="22"/>
      <c r="H106" s="25">
        <f>Planejamento!N66</f>
        <v>0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hidden="1" customHeight="1">
      <c r="A107" s="5"/>
      <c r="B107" s="24"/>
      <c r="C107" s="24"/>
      <c r="D107" s="24"/>
      <c r="E107" s="21"/>
      <c r="F107" s="22"/>
      <c r="G107" s="22"/>
      <c r="H107" s="18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hidden="1" customHeight="1">
      <c r="A108" s="5"/>
      <c r="B108" s="36" t="s">
        <v>15</v>
      </c>
      <c r="C108" s="12"/>
      <c r="D108" s="12"/>
      <c r="E108" s="12"/>
      <c r="F108" s="13">
        <f>H108*100/(G199)</f>
        <v>0</v>
      </c>
      <c r="G108" s="13" t="s">
        <v>5</v>
      </c>
      <c r="H108" s="14">
        <f>SUM(H112)</f>
        <v>0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hidden="1" customHeight="1">
      <c r="A109" s="5"/>
      <c r="B109" s="43"/>
      <c r="C109" s="44"/>
      <c r="D109" s="44"/>
      <c r="E109" s="45"/>
      <c r="F109" s="46"/>
      <c r="G109" s="46"/>
      <c r="H109" s="33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hidden="1" customHeight="1">
      <c r="A110" s="5"/>
      <c r="B110" s="28"/>
      <c r="C110" s="29"/>
      <c r="D110" s="29"/>
      <c r="E110" s="47" t="s">
        <v>7</v>
      </c>
      <c r="F110" s="47" t="s">
        <v>8</v>
      </c>
      <c r="G110" s="30"/>
      <c r="H110" s="3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hidden="1" customHeight="1">
      <c r="A111" s="5"/>
      <c r="B111" s="9"/>
      <c r="C111" s="9"/>
      <c r="D111" s="9"/>
      <c r="E111" s="48"/>
      <c r="F111" s="9"/>
      <c r="G111" s="9"/>
      <c r="H111" s="49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hidden="1" customHeight="1">
      <c r="A112" s="5"/>
      <c r="B112" s="24" t="str">
        <f>Planejamento!B67</f>
        <v xml:space="preserve">ponto de gás </v>
      </c>
      <c r="C112" s="50"/>
      <c r="D112" s="50"/>
      <c r="E112" s="21" t="str">
        <f>Planejamento!C67</f>
        <v>unidade</v>
      </c>
      <c r="F112" s="21">
        <f>Planejamento!D67</f>
        <v>0</v>
      </c>
      <c r="G112" s="35"/>
      <c r="H112" s="25">
        <f>Planejamento!N67</f>
        <v>0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hidden="1" customHeight="1">
      <c r="A113" s="5"/>
      <c r="B113" s="9"/>
      <c r="C113" s="9"/>
      <c r="D113" s="9"/>
      <c r="E113" s="51"/>
      <c r="F113" s="9"/>
      <c r="G113" s="9"/>
      <c r="H113" s="49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hidden="1" customHeight="1">
      <c r="A114" s="5"/>
      <c r="B114" s="36" t="s">
        <v>16</v>
      </c>
      <c r="C114" s="12"/>
      <c r="D114" s="12"/>
      <c r="E114" s="12"/>
      <c r="F114" s="13">
        <f>H114*100/(G199)</f>
        <v>0</v>
      </c>
      <c r="G114" s="13" t="s">
        <v>5</v>
      </c>
      <c r="H114" s="14">
        <f>SUM(H118:H133)</f>
        <v>0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hidden="1" customHeight="1">
      <c r="A115" s="5"/>
      <c r="B115" s="43"/>
      <c r="C115" s="44"/>
      <c r="D115" s="44"/>
      <c r="E115" s="45"/>
      <c r="F115" s="46"/>
      <c r="G115" s="46"/>
      <c r="H115" s="33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hidden="1" customHeight="1">
      <c r="A116" s="5"/>
      <c r="B116" s="28"/>
      <c r="C116" s="29"/>
      <c r="D116" s="29"/>
      <c r="E116" s="47" t="s">
        <v>7</v>
      </c>
      <c r="F116" s="47" t="s">
        <v>8</v>
      </c>
      <c r="G116" s="30"/>
      <c r="H116" s="33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hidden="1" customHeight="1">
      <c r="A117" s="5"/>
      <c r="B117" s="24"/>
      <c r="C117" s="50"/>
      <c r="D117" s="50"/>
      <c r="E117" s="50"/>
      <c r="F117" s="50"/>
      <c r="G117" s="50"/>
      <c r="H117" s="5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hidden="1" customHeight="1">
      <c r="A118" s="5"/>
      <c r="B118" s="24" t="str">
        <f>Planejamento!B68</f>
        <v xml:space="preserve">colocação de moldura </v>
      </c>
      <c r="C118" s="50"/>
      <c r="D118" s="50"/>
      <c r="E118" s="21" t="str">
        <f>Planejamento!C68</f>
        <v>ml</v>
      </c>
      <c r="F118" s="21">
        <f>Planejamento!D68</f>
        <v>0</v>
      </c>
      <c r="G118" s="35"/>
      <c r="H118" s="25">
        <f>Planejamento!N68</f>
        <v>0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hidden="1" customHeight="1">
      <c r="A119" s="5"/>
      <c r="B119" s="24" t="str">
        <f>Planejamento!B69</f>
        <v xml:space="preserve">cortineiro </v>
      </c>
      <c r="C119" s="50"/>
      <c r="D119" s="50"/>
      <c r="E119" s="21" t="str">
        <f>Planejamento!C69</f>
        <v>ml</v>
      </c>
      <c r="F119" s="21">
        <f>Planejamento!D69</f>
        <v>0</v>
      </c>
      <c r="G119" s="35"/>
      <c r="H119" s="25">
        <f>Planejamento!N69</f>
        <v>0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hidden="1" customHeight="1">
      <c r="A120" s="5"/>
      <c r="B120" s="24" t="str">
        <f>Planejamento!B70</f>
        <v xml:space="preserve">fechamento de buracos </v>
      </c>
      <c r="C120" s="50"/>
      <c r="D120" s="50"/>
      <c r="E120" s="21" t="str">
        <f>Planejamento!C70</f>
        <v>unidade</v>
      </c>
      <c r="F120" s="21">
        <f>Planejamento!D70</f>
        <v>0</v>
      </c>
      <c r="G120" s="35"/>
      <c r="H120" s="25">
        <f>Planejamento!N70</f>
        <v>0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hidden="1" customHeight="1">
      <c r="A121" s="5"/>
      <c r="B121" s="24" t="str">
        <f>Planejamento!B71</f>
        <v xml:space="preserve">forro </v>
      </c>
      <c r="C121" s="50"/>
      <c r="D121" s="50"/>
      <c r="E121" s="21" t="str">
        <f>Planejamento!C71</f>
        <v>m²</v>
      </c>
      <c r="F121" s="21">
        <f>Planejamento!D71</f>
        <v>0</v>
      </c>
      <c r="G121" s="35"/>
      <c r="H121" s="25">
        <f>Planejamento!N71</f>
        <v>0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hidden="1" customHeight="1">
      <c r="A122" s="5"/>
      <c r="B122" s="24" t="str">
        <f>Planejamento!B72</f>
        <v xml:space="preserve">gesso  negativo </v>
      </c>
      <c r="C122" s="50"/>
      <c r="D122" s="50"/>
      <c r="E122" s="21" t="str">
        <f>Planejamento!C72</f>
        <v>ml</v>
      </c>
      <c r="F122" s="21">
        <f>Planejamento!D72</f>
        <v>0</v>
      </c>
      <c r="G122" s="35"/>
      <c r="H122" s="25">
        <f>Planejamento!N72</f>
        <v>0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hidden="1" customHeight="1">
      <c r="A123" s="5"/>
      <c r="B123" s="24" t="str">
        <f>Planejamento!B73</f>
        <v>Lã de Rocha Isofibras 2" c/6 unidades</v>
      </c>
      <c r="C123" s="50"/>
      <c r="D123" s="50"/>
      <c r="E123" s="21" t="str">
        <f>Planejamento!C73</f>
        <v>unidade</v>
      </c>
      <c r="F123" s="21">
        <f>Planejamento!D73</f>
        <v>0</v>
      </c>
      <c r="G123" s="35"/>
      <c r="H123" s="25">
        <f>Planejamento!N73</f>
        <v>0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hidden="1" customHeight="1">
      <c r="A124" s="5"/>
      <c r="B124" s="24" t="str">
        <f>Planejamento!B74</f>
        <v xml:space="preserve">manta pet para acústica hidrosanitária </v>
      </c>
      <c r="C124" s="50"/>
      <c r="D124" s="50"/>
      <c r="E124" s="21" t="str">
        <f>Planejamento!C74</f>
        <v>unidade</v>
      </c>
      <c r="F124" s="21">
        <f>Planejamento!D74</f>
        <v>0</v>
      </c>
      <c r="G124" s="35"/>
      <c r="H124" s="25">
        <f>Planejamento!N74</f>
        <v>0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hidden="1" customHeight="1">
      <c r="A125" s="5"/>
      <c r="B125" s="24" t="str">
        <f>Planejamento!B75</f>
        <v xml:space="preserve">nicho em drywall  </v>
      </c>
      <c r="C125" s="50"/>
      <c r="D125" s="50"/>
      <c r="E125" s="21" t="str">
        <f>Planejamento!C75</f>
        <v>m²</v>
      </c>
      <c r="F125" s="21">
        <f>Planejamento!D75</f>
        <v>0</v>
      </c>
      <c r="G125" s="35"/>
      <c r="H125" s="25">
        <f>Planejamento!N75</f>
        <v>0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hidden="1" customHeight="1">
      <c r="A126" s="5"/>
      <c r="B126" s="24" t="str">
        <f>Planejamento!B76</f>
        <v xml:space="preserve">parede drywall duas faces </v>
      </c>
      <c r="C126" s="50"/>
      <c r="D126" s="50"/>
      <c r="E126" s="21" t="str">
        <f>Planejamento!C76</f>
        <v>m²</v>
      </c>
      <c r="F126" s="21">
        <f>Planejamento!D76</f>
        <v>0</v>
      </c>
      <c r="G126" s="35"/>
      <c r="H126" s="25">
        <f>Planejamento!N76</f>
        <v>0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hidden="1" customHeight="1">
      <c r="A127" s="5"/>
      <c r="B127" s="24" t="str">
        <f>Planejamento!B77</f>
        <v>parede drywall uma face</v>
      </c>
      <c r="C127" s="50"/>
      <c r="D127" s="50"/>
      <c r="E127" s="21" t="str">
        <f>Planejamento!C77</f>
        <v>m²</v>
      </c>
      <c r="F127" s="21">
        <f>Planejamento!D77</f>
        <v>0</v>
      </c>
      <c r="G127" s="35"/>
      <c r="H127" s="25">
        <f>Planejamento!N77</f>
        <v>0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hidden="1" customHeight="1">
      <c r="A128" s="5"/>
      <c r="B128" s="24" t="str">
        <f>Planejamento!B78</f>
        <v xml:space="preserve">parede drywall placa verde duas faces </v>
      </c>
      <c r="C128" s="50"/>
      <c r="D128" s="50"/>
      <c r="E128" s="21" t="str">
        <f>Planejamento!C78</f>
        <v>m²</v>
      </c>
      <c r="F128" s="21">
        <f>Planejamento!D78</f>
        <v>0</v>
      </c>
      <c r="G128" s="35"/>
      <c r="H128" s="25">
        <f>Planejamento!N78</f>
        <v>0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hidden="1" customHeight="1">
      <c r="A129" s="5"/>
      <c r="B129" s="24" t="str">
        <f>Planejamento!B79</f>
        <v>parede drywall placa verde uma face</v>
      </c>
      <c r="C129" s="50"/>
      <c r="D129" s="50"/>
      <c r="E129" s="21" t="str">
        <f>Planejamento!C79</f>
        <v>m²</v>
      </c>
      <c r="F129" s="21">
        <f>Planejamento!D79</f>
        <v>0</v>
      </c>
      <c r="G129" s="35"/>
      <c r="H129" s="25">
        <f>Planejamento!N79</f>
        <v>0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hidden="1" customHeight="1">
      <c r="A130" s="5"/>
      <c r="B130" s="24" t="str">
        <f>Planejamento!B80</f>
        <v xml:space="preserve">rasgo de luz  </v>
      </c>
      <c r="C130" s="50"/>
      <c r="D130" s="50"/>
      <c r="E130" s="21" t="str">
        <f>Planejamento!C80</f>
        <v>ml</v>
      </c>
      <c r="F130" s="21">
        <f>Planejamento!D80</f>
        <v>0</v>
      </c>
      <c r="G130" s="35"/>
      <c r="H130" s="25">
        <f>Planejamento!N80</f>
        <v>0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hidden="1" customHeight="1">
      <c r="A131" s="5"/>
      <c r="B131" s="24" t="str">
        <f>Planejamento!B81</f>
        <v xml:space="preserve">sanca aberta ou invertida </v>
      </c>
      <c r="C131" s="50"/>
      <c r="D131" s="50"/>
      <c r="E131" s="21" t="str">
        <f>Planejamento!C81</f>
        <v>ml</v>
      </c>
      <c r="F131" s="21">
        <f>Planejamento!D81</f>
        <v>0</v>
      </c>
      <c r="G131" s="35"/>
      <c r="H131" s="25">
        <f>Planejamento!N81</f>
        <v>0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hidden="1" customHeight="1">
      <c r="A132" s="5"/>
      <c r="B132" s="24" t="str">
        <f>Planejamento!B82</f>
        <v xml:space="preserve">substituição de placa de drywall </v>
      </c>
      <c r="C132" s="50"/>
      <c r="D132" s="50"/>
      <c r="E132" s="21" t="str">
        <f>Planejamento!C82</f>
        <v>unidade</v>
      </c>
      <c r="F132" s="21">
        <f>Planejamento!D82</f>
        <v>0</v>
      </c>
      <c r="G132" s="35"/>
      <c r="H132" s="25">
        <f>Planejamento!N82</f>
        <v>0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hidden="1" customHeight="1">
      <c r="A133" s="5"/>
      <c r="B133" s="24" t="str">
        <f>Planejamento!B83</f>
        <v xml:space="preserve">tabica </v>
      </c>
      <c r="C133" s="50"/>
      <c r="D133" s="50"/>
      <c r="E133" s="21" t="str">
        <f>Planejamento!C83</f>
        <v>ml</v>
      </c>
      <c r="F133" s="21">
        <f>Planejamento!D83</f>
        <v>0</v>
      </c>
      <c r="G133" s="35"/>
      <c r="H133" s="25">
        <f>Planejamento!N83</f>
        <v>0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>
      <c r="A134" s="50"/>
      <c r="B134" s="50"/>
      <c r="C134" s="50"/>
      <c r="D134" s="50"/>
      <c r="E134" s="50"/>
      <c r="F134" s="50"/>
      <c r="G134" s="50"/>
      <c r="H134" s="5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>
      <c r="A135" s="50"/>
      <c r="B135" s="36" t="s">
        <v>17</v>
      </c>
      <c r="C135" s="12"/>
      <c r="D135" s="12"/>
      <c r="E135" s="12"/>
      <c r="F135" s="13">
        <f>H135*100/(G199)</f>
        <v>3.4597039675805479</v>
      </c>
      <c r="G135" s="13" t="s">
        <v>5</v>
      </c>
      <c r="H135" s="14">
        <f>SUM(H139:H151)</f>
        <v>990.18932699999982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>
      <c r="A136" s="50"/>
      <c r="B136" s="26"/>
      <c r="C136" s="27"/>
      <c r="D136" s="27"/>
      <c r="E136" s="17"/>
      <c r="F136" s="15"/>
      <c r="G136" s="15"/>
      <c r="H136" s="33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>
      <c r="A137" s="50"/>
      <c r="B137" s="28"/>
      <c r="C137" s="29"/>
      <c r="D137" s="29"/>
      <c r="E137" s="4" t="s">
        <v>7</v>
      </c>
      <c r="F137" s="4" t="s">
        <v>8</v>
      </c>
      <c r="G137" s="30"/>
      <c r="H137" s="33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>
      <c r="A138" s="50"/>
      <c r="B138" s="50"/>
      <c r="C138" s="50"/>
      <c r="D138" s="50"/>
      <c r="E138" s="50"/>
      <c r="F138" s="50"/>
      <c r="G138" s="50"/>
      <c r="H138" s="5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hidden="1" customHeight="1">
      <c r="A139" s="50"/>
      <c r="B139" s="50" t="str">
        <f>Planejamento!B84</f>
        <v xml:space="preserve">construção em alvenaria com reboco  </v>
      </c>
      <c r="C139" s="50"/>
      <c r="D139" s="50"/>
      <c r="E139" s="39" t="str">
        <f>Planejamento!C84</f>
        <v>m²</v>
      </c>
      <c r="F139" s="39">
        <f>Planejamento!D84</f>
        <v>0</v>
      </c>
      <c r="G139" s="50"/>
      <c r="H139" s="53">
        <f>Planejamento!N84</f>
        <v>0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hidden="1" customHeight="1">
      <c r="A140" s="50"/>
      <c r="B140" s="50" t="str">
        <f>Planejamento!B85</f>
        <v xml:space="preserve">reboco de alvenaria </v>
      </c>
      <c r="C140" s="50"/>
      <c r="D140" s="50"/>
      <c r="E140" s="39" t="str">
        <f>Planejamento!C85</f>
        <v>m²</v>
      </c>
      <c r="F140" s="39">
        <f>Planejamento!D85</f>
        <v>0</v>
      </c>
      <c r="G140" s="50"/>
      <c r="H140" s="53">
        <f>Planejamento!N85</f>
        <v>0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hidden="1" customHeight="1">
      <c r="A141" s="50"/>
      <c r="B141" s="50" t="str">
        <f>Planejamento!B86</f>
        <v xml:space="preserve">requadro de vão  </v>
      </c>
      <c r="C141" s="50"/>
      <c r="D141" s="50"/>
      <c r="E141" s="39" t="str">
        <f>Planejamento!C86</f>
        <v>unidade</v>
      </c>
      <c r="F141" s="39">
        <f>Planejamento!D86</f>
        <v>0</v>
      </c>
      <c r="G141" s="50"/>
      <c r="H141" s="53">
        <f>Planejamento!N86</f>
        <v>0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hidden="1" customHeight="1">
      <c r="A142" s="50"/>
      <c r="B142" s="50" t="str">
        <f>Planejamento!B87</f>
        <v xml:space="preserve">reboco </v>
      </c>
      <c r="C142" s="50"/>
      <c r="D142" s="50"/>
      <c r="E142" s="39" t="str">
        <f>Planejamento!C87</f>
        <v>m²</v>
      </c>
      <c r="F142" s="39">
        <f>Planejamento!D87</f>
        <v>0</v>
      </c>
      <c r="G142" s="50"/>
      <c r="H142" s="53">
        <f>Planejamento!N87</f>
        <v>0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hidden="1" customHeight="1">
      <c r="A143" s="50"/>
      <c r="B143" s="50" t="str">
        <f>Planejamento!B88</f>
        <v>assentamento de porcelanato até 90x90</v>
      </c>
      <c r="C143" s="50"/>
      <c r="D143" s="50"/>
      <c r="E143" s="39" t="str">
        <f>Planejamento!C88</f>
        <v>m²</v>
      </c>
      <c r="F143" s="39">
        <f>Planejamento!D88</f>
        <v>0</v>
      </c>
      <c r="G143" s="50"/>
      <c r="H143" s="53">
        <f>Planejamento!N88</f>
        <v>0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hidden="1" customHeight="1">
      <c r="A144" s="50"/>
      <c r="B144" s="50" t="str">
        <f>Planejamento!B89</f>
        <v>assentamento de porcelanato até 100x100 a 120x120</v>
      </c>
      <c r="C144" s="50"/>
      <c r="D144" s="50"/>
      <c r="E144" s="39" t="str">
        <f>Planejamento!C89</f>
        <v>m²</v>
      </c>
      <c r="F144" s="39">
        <f>Planejamento!D89</f>
        <v>0</v>
      </c>
      <c r="G144" s="50"/>
      <c r="H144" s="53">
        <f>Planejamento!N89</f>
        <v>0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hidden="1" customHeight="1">
      <c r="A145" s="50"/>
      <c r="B145" s="50" t="str">
        <f>Planejamento!B90</f>
        <v xml:space="preserve">instalação de rodapés de porcelanato </v>
      </c>
      <c r="C145" s="50"/>
      <c r="D145" s="50"/>
      <c r="E145" s="39" t="str">
        <f>Planejamento!C90</f>
        <v>ml</v>
      </c>
      <c r="F145" s="39">
        <f>Planejamento!D90</f>
        <v>0</v>
      </c>
      <c r="G145" s="50"/>
      <c r="H145" s="53">
        <f>Planejamento!N90</f>
        <v>0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hidden="1" customHeight="1">
      <c r="A146" s="50"/>
      <c r="B146" s="50" t="str">
        <f>Planejamento!B91</f>
        <v xml:space="preserve">impermeabilização de Paredes </v>
      </c>
      <c r="C146" s="50"/>
      <c r="D146" s="50"/>
      <c r="E146" s="39" t="str">
        <f>Planejamento!C91</f>
        <v>m²</v>
      </c>
      <c r="F146" s="39">
        <f>Planejamento!D91</f>
        <v>0</v>
      </c>
      <c r="G146" s="50"/>
      <c r="H146" s="53">
        <f>Planejamento!N91</f>
        <v>0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6.5" hidden="1" customHeight="1">
      <c r="A147" s="50"/>
      <c r="B147" s="50" t="str">
        <f>Planejamento!B92</f>
        <v xml:space="preserve">chumbar batente de porta na alvenaria </v>
      </c>
      <c r="C147" s="50"/>
      <c r="D147" s="50"/>
      <c r="E147" s="39" t="str">
        <f>Planejamento!C92</f>
        <v>unidade</v>
      </c>
      <c r="F147" s="39">
        <f>Planejamento!D92</f>
        <v>0</v>
      </c>
      <c r="G147" s="50"/>
      <c r="H147" s="53">
        <f>Planejamento!N92</f>
        <v>0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hidden="1" customHeight="1">
      <c r="A148" s="50"/>
      <c r="B148" s="50" t="str">
        <f>Planejamento!B93</f>
        <v xml:space="preserve">instalação de porta e batente </v>
      </c>
      <c r="C148" s="50"/>
      <c r="D148" s="50"/>
      <c r="E148" s="39" t="str">
        <f>Planejamento!C93</f>
        <v>unidade</v>
      </c>
      <c r="F148" s="39">
        <f>Planejamento!D93</f>
        <v>0</v>
      </c>
      <c r="G148" s="50"/>
      <c r="H148" s="53">
        <f>Planejamento!N93</f>
        <v>0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hidden="1" customHeight="1">
      <c r="A149" s="50"/>
      <c r="B149" s="50" t="str">
        <f>Planejamento!B94</f>
        <v xml:space="preserve">abertura em alvenaria para nicho com impermeabilização  </v>
      </c>
      <c r="C149" s="50"/>
      <c r="D149" s="50"/>
      <c r="E149" s="39" t="str">
        <f>Planejamento!C94</f>
        <v>m²</v>
      </c>
      <c r="F149" s="39">
        <f>Planejamento!D94</f>
        <v>0</v>
      </c>
      <c r="G149" s="50"/>
      <c r="H149" s="53">
        <f>Planejamento!N94</f>
        <v>0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hidden="1" customHeight="1">
      <c r="A150" s="50"/>
      <c r="B150" s="50" t="str">
        <f>Planejamento!B95</f>
        <v xml:space="preserve">assentamento de revestimentos mosaicos </v>
      </c>
      <c r="C150" s="50"/>
      <c r="D150" s="50"/>
      <c r="E150" s="39" t="str">
        <f>Planejamento!C95</f>
        <v>m²</v>
      </c>
      <c r="F150" s="39">
        <f>Planejamento!D95</f>
        <v>0</v>
      </c>
      <c r="G150" s="50"/>
      <c r="H150" s="53">
        <f>Planejamento!N95</f>
        <v>0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>
      <c r="A151" s="50"/>
      <c r="B151" s="50" t="str">
        <f>Planejamento!B96</f>
        <v xml:space="preserve">assentamento de revestimentos especiais  </v>
      </c>
      <c r="C151" s="50"/>
      <c r="D151" s="50"/>
      <c r="E151" s="39" t="str">
        <f>Planejamento!C96</f>
        <v>m²</v>
      </c>
      <c r="F151" s="39">
        <f>Planejamento!D96</f>
        <v>3.3380000000000001</v>
      </c>
      <c r="G151" s="50"/>
      <c r="H151" s="53">
        <f>Planejamento!N96</f>
        <v>990.18932699999982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>
      <c r="A152" s="50"/>
      <c r="B152" s="50"/>
      <c r="C152" s="50"/>
      <c r="D152" s="50"/>
      <c r="E152" s="50"/>
      <c r="F152" s="50"/>
      <c r="G152" s="50"/>
      <c r="H152" s="5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>
      <c r="A153" s="50"/>
      <c r="B153" s="36" t="s">
        <v>18</v>
      </c>
      <c r="C153" s="12"/>
      <c r="D153" s="12"/>
      <c r="E153" s="12"/>
      <c r="F153" s="54">
        <f>H153*100/(G199)</f>
        <v>27.428523810055196</v>
      </c>
      <c r="G153" s="54" t="s">
        <v>5</v>
      </c>
      <c r="H153" s="14">
        <f>SUM(H157:H162)</f>
        <v>7850.2183384999998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>
      <c r="A154" s="50"/>
      <c r="B154" s="26"/>
      <c r="C154" s="27"/>
      <c r="D154" s="27"/>
      <c r="E154" s="17"/>
      <c r="F154" s="15"/>
      <c r="G154" s="15"/>
      <c r="H154" s="33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>
      <c r="A155" s="50"/>
      <c r="B155" s="28"/>
      <c r="C155" s="29"/>
      <c r="D155" s="29"/>
      <c r="E155" s="4" t="s">
        <v>7</v>
      </c>
      <c r="F155" s="4" t="s">
        <v>8</v>
      </c>
      <c r="G155" s="30"/>
      <c r="H155" s="33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>
      <c r="A156" s="50"/>
      <c r="B156" s="50"/>
      <c r="C156" s="50"/>
      <c r="D156" s="50"/>
      <c r="E156" s="50"/>
      <c r="F156" s="50"/>
      <c r="G156" s="50"/>
      <c r="H156" s="5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>
      <c r="A157" s="50"/>
      <c r="B157" s="50" t="str">
        <f>Planejamento!B97</f>
        <v xml:space="preserve">colocação de piso vinilico com rodapé branco mdf 7 cm </v>
      </c>
      <c r="C157" s="50"/>
      <c r="D157" s="50"/>
      <c r="E157" s="39" t="str">
        <f>Planejamento!C97</f>
        <v>m²</v>
      </c>
      <c r="F157" s="39">
        <f>Planejamento!D97</f>
        <v>26.330000000000002</v>
      </c>
      <c r="G157" s="50"/>
      <c r="H157" s="53">
        <f>Planejamento!N97</f>
        <v>6027.751843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>
      <c r="A158" s="50"/>
      <c r="B158" s="50" t="str">
        <f>Planejamento!B98</f>
        <v xml:space="preserve">contrapiso </v>
      </c>
      <c r="C158" s="50"/>
      <c r="D158" s="50"/>
      <c r="E158" s="39" t="str">
        <f>Planejamento!C98</f>
        <v>m²</v>
      </c>
      <c r="F158" s="39">
        <f>Planejamento!D98</f>
        <v>26.330000000000002</v>
      </c>
      <c r="G158" s="50"/>
      <c r="H158" s="53">
        <f>Planejamento!N98</f>
        <v>1822.4664955000001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hidden="1" customHeight="1">
      <c r="A159" s="50"/>
      <c r="B159" s="50" t="str">
        <f>Planejamento!B99</f>
        <v>assentamento de porcelanato até 90x90</v>
      </c>
      <c r="C159" s="50"/>
      <c r="D159" s="50"/>
      <c r="E159" s="39" t="str">
        <f>Planejamento!C99</f>
        <v>m²</v>
      </c>
      <c r="F159" s="39">
        <f>Planejamento!D99</f>
        <v>0</v>
      </c>
      <c r="G159" s="50"/>
      <c r="H159" s="53">
        <f>Planejamento!N99</f>
        <v>0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hidden="1" customHeight="1">
      <c r="A160" s="50"/>
      <c r="B160" s="50" t="str">
        <f>Planejamento!B100</f>
        <v>assentamento de porcelanato até 100x100 a 120x120</v>
      </c>
      <c r="C160" s="50"/>
      <c r="D160" s="50"/>
      <c r="E160" s="39" t="str">
        <f>Planejamento!C100</f>
        <v>m²</v>
      </c>
      <c r="F160" s="39">
        <f>Planejamento!D100</f>
        <v>0</v>
      </c>
      <c r="G160" s="50"/>
      <c r="H160" s="53">
        <f>Planejamento!N100</f>
        <v>0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hidden="1" customHeight="1">
      <c r="A161" s="50"/>
      <c r="B161" s="50" t="str">
        <f>Planejamento!B101</f>
        <v xml:space="preserve">base de alvenaria  </v>
      </c>
      <c r="C161" s="50"/>
      <c r="D161" s="50"/>
      <c r="E161" s="39" t="str">
        <f>Planejamento!C101</f>
        <v>m²</v>
      </c>
      <c r="F161" s="39">
        <f>Planejamento!D101</f>
        <v>0</v>
      </c>
      <c r="G161" s="50"/>
      <c r="H161" s="53">
        <f>Planejamento!N101</f>
        <v>0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hidden="1" customHeight="1">
      <c r="A162" s="50"/>
      <c r="B162" s="50" t="str">
        <f>Planejamento!B102</f>
        <v xml:space="preserve">impermeabilização de piso </v>
      </c>
      <c r="C162" s="50"/>
      <c r="D162" s="50"/>
      <c r="E162" s="39" t="str">
        <f>Planejamento!C102</f>
        <v>m²</v>
      </c>
      <c r="F162" s="39">
        <f>Planejamento!D102</f>
        <v>0</v>
      </c>
      <c r="G162" s="50"/>
      <c r="H162" s="53">
        <f>Planejamento!N102</f>
        <v>0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hidden="1" customHeight="1">
      <c r="A163" s="50"/>
      <c r="B163" s="50"/>
      <c r="C163" s="50"/>
      <c r="D163" s="50"/>
      <c r="E163" s="39"/>
      <c r="F163" s="39"/>
      <c r="G163" s="50"/>
      <c r="H163" s="5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hidden="1" customHeight="1">
      <c r="A164" s="5"/>
      <c r="B164" s="36" t="s">
        <v>19</v>
      </c>
      <c r="C164" s="12"/>
      <c r="D164" s="12"/>
      <c r="E164" s="12"/>
      <c r="F164" s="54">
        <f>H164*100/(G199)</f>
        <v>0</v>
      </c>
      <c r="G164" s="54" t="s">
        <v>5</v>
      </c>
      <c r="H164" s="14">
        <f>SUM(H168:H171)</f>
        <v>0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2" hidden="1" customHeight="1">
      <c r="A165" s="5"/>
      <c r="B165" s="43"/>
      <c r="C165" s="44"/>
      <c r="D165" s="44"/>
      <c r="E165" s="45"/>
      <c r="F165" s="46"/>
      <c r="G165" s="46"/>
      <c r="H165" s="33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hidden="1" customHeight="1">
      <c r="A166" s="5"/>
      <c r="B166" s="28"/>
      <c r="C166" s="29"/>
      <c r="D166" s="29"/>
      <c r="E166" s="47" t="s">
        <v>7</v>
      </c>
      <c r="F166" s="47" t="s">
        <v>8</v>
      </c>
      <c r="G166" s="30"/>
      <c r="H166" s="33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hidden="1" customHeight="1">
      <c r="A167" s="5"/>
      <c r="B167" s="50"/>
      <c r="C167" s="50"/>
      <c r="D167" s="50"/>
      <c r="E167" s="50"/>
      <c r="F167" s="50"/>
      <c r="G167" s="50"/>
      <c r="H167" s="5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hidden="1" customHeight="1">
      <c r="A168" s="5"/>
      <c r="B168" s="50" t="str">
        <f>Planejamento!B103</f>
        <v>emassar teto</v>
      </c>
      <c r="C168" s="50"/>
      <c r="D168" s="50"/>
      <c r="E168" s="39" t="str">
        <f>Planejamento!C103</f>
        <v>m²</v>
      </c>
      <c r="F168" s="39">
        <f>Planejamento!D103</f>
        <v>0</v>
      </c>
      <c r="G168" s="50"/>
      <c r="H168" s="53">
        <f>Planejamento!N103</f>
        <v>0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hidden="1" customHeight="1">
      <c r="A169" s="5"/>
      <c r="B169" s="50" t="str">
        <f>Planejamento!B105</f>
        <v>equipe de pintura</v>
      </c>
      <c r="C169" s="50"/>
      <c r="D169" s="50"/>
      <c r="E169" s="39" t="str">
        <f>Planejamento!C105</f>
        <v>m²</v>
      </c>
      <c r="F169" s="39">
        <f>Planejamento!D104</f>
        <v>0</v>
      </c>
      <c r="G169" s="50"/>
      <c r="H169" s="53">
        <f>Planejamento!N104</f>
        <v>0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hidden="1" customHeight="1">
      <c r="A170" s="5"/>
      <c r="B170" s="50" t="str">
        <f>Planejamento!B104</f>
        <v xml:space="preserve">equipe de pintura para preparação </v>
      </c>
      <c r="C170" s="50"/>
      <c r="D170" s="50"/>
      <c r="E170" s="39" t="str">
        <f>Planejamento!C104</f>
        <v>m²</v>
      </c>
      <c r="F170" s="39">
        <f>Planejamento!D105</f>
        <v>0</v>
      </c>
      <c r="G170" s="50"/>
      <c r="H170" s="53">
        <f>Planejamento!N105</f>
        <v>0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hidden="1" customHeight="1">
      <c r="A171" s="5"/>
      <c r="B171" s="50" t="str">
        <f>Planejamento!B106</f>
        <v>pintura de porta</v>
      </c>
      <c r="C171" s="50"/>
      <c r="D171" s="50"/>
      <c r="E171" s="39" t="str">
        <f>Planejamento!C106</f>
        <v>unidade</v>
      </c>
      <c r="F171" s="39">
        <f>Planejamento!D106</f>
        <v>0</v>
      </c>
      <c r="G171" s="50"/>
      <c r="H171" s="53">
        <f>Planejamento!N106</f>
        <v>0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>
      <c r="A172" s="5"/>
      <c r="B172" s="9"/>
      <c r="C172" s="9"/>
      <c r="D172" s="9"/>
      <c r="E172" s="55"/>
      <c r="F172" s="56"/>
      <c r="G172" s="56"/>
      <c r="H172" s="3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>
      <c r="A173" s="5"/>
      <c r="B173" s="36" t="s">
        <v>20</v>
      </c>
      <c r="C173" s="12"/>
      <c r="D173" s="12"/>
      <c r="E173" s="12"/>
      <c r="F173" s="13">
        <f>H173*100/(G199)</f>
        <v>35.019143150979339</v>
      </c>
      <c r="G173" s="13" t="s">
        <v>5</v>
      </c>
      <c r="H173" s="14">
        <f>SUM(H177:H190)</f>
        <v>10022.701974999998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>
      <c r="A174" s="5"/>
      <c r="B174" s="26"/>
      <c r="C174" s="27"/>
      <c r="D174" s="27"/>
      <c r="E174" s="17"/>
      <c r="F174" s="15"/>
      <c r="G174" s="15"/>
      <c r="H174" s="33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2.75" customHeight="1">
      <c r="A175" s="5"/>
      <c r="B175" s="28"/>
      <c r="C175" s="29"/>
      <c r="D175" s="29"/>
      <c r="E175" s="4" t="s">
        <v>7</v>
      </c>
      <c r="F175" s="4" t="s">
        <v>8</v>
      </c>
      <c r="G175" s="30"/>
      <c r="H175" s="33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>
      <c r="A176" s="5"/>
      <c r="B176" s="50"/>
      <c r="C176" s="50"/>
      <c r="D176" s="50"/>
      <c r="E176" s="50"/>
      <c r="F176" s="50"/>
      <c r="G176" s="50"/>
      <c r="H176" s="5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hidden="1" customHeight="1">
      <c r="A177" s="5"/>
      <c r="B177" s="24" t="str">
        <f>Planejamento!B107</f>
        <v xml:space="preserve">Envidraçamento de Sacada </v>
      </c>
      <c r="C177" s="50"/>
      <c r="D177" s="50"/>
      <c r="E177" s="39" t="str">
        <f>Planejamento!C107</f>
        <v>m²</v>
      </c>
      <c r="F177" s="39">
        <f>Planejamento!D107</f>
        <v>0</v>
      </c>
      <c r="G177" s="50"/>
      <c r="H177" s="53">
        <f>Planejamento!N107</f>
        <v>0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>
      <c r="A178" s="5"/>
      <c r="B178" s="24" t="str">
        <f>Planejamento!B108</f>
        <v>bancada slim cozinha 1 - cuba pequena inox para tanque</v>
      </c>
      <c r="C178" s="50"/>
      <c r="D178" s="50"/>
      <c r="E178" s="39" t="str">
        <f>Planejamento!C108</f>
        <v>m²</v>
      </c>
      <c r="F178" s="39">
        <f>Planejamento!D108</f>
        <v>0.72599999999999998</v>
      </c>
      <c r="G178" s="50"/>
      <c r="H178" s="53">
        <f>Planejamento!N108</f>
        <v>2744.8063500000003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>
      <c r="A179" s="5"/>
      <c r="B179" s="24" t="str">
        <f>Planejamento!B109</f>
        <v xml:space="preserve">bancada slim cozinha 2 - cuba pequena inox para pia cozinha </v>
      </c>
      <c r="C179" s="50"/>
      <c r="D179" s="50"/>
      <c r="E179" s="39" t="str">
        <f>Planejamento!C109</f>
        <v>m²</v>
      </c>
      <c r="F179" s="39">
        <f>Planejamento!D109</f>
        <v>0.74</v>
      </c>
      <c r="G179" s="50"/>
      <c r="H179" s="53">
        <f>Planejamento!N109</f>
        <v>2797.7365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>
      <c r="A180" s="5"/>
      <c r="B180" s="24" t="str">
        <f>Planejamento!B110</f>
        <v xml:space="preserve">bancada slim banheiro - com cuba ceramica de apoio </v>
      </c>
      <c r="C180" s="50"/>
      <c r="D180" s="50"/>
      <c r="E180" s="39" t="str">
        <f>Planejamento!C110</f>
        <v>m²</v>
      </c>
      <c r="F180" s="39">
        <f>Planejamento!D110</f>
        <v>0.42499999999999999</v>
      </c>
      <c r="G180" s="50"/>
      <c r="H180" s="53">
        <f>Planejamento!N110</f>
        <v>1606.8081249999998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>
      <c r="A181" s="5"/>
      <c r="B181" s="24" t="str">
        <f>Planejamento!B111</f>
        <v xml:space="preserve">Box Banheiro 0,90 X 2,10 </v>
      </c>
      <c r="C181" s="50"/>
      <c r="D181" s="50"/>
      <c r="E181" s="39" t="str">
        <f>Planejamento!C111</f>
        <v>unidade</v>
      </c>
      <c r="F181" s="39">
        <f>Planejamento!D111</f>
        <v>1</v>
      </c>
      <c r="G181" s="50"/>
      <c r="H181" s="53">
        <f>Planejamento!N111</f>
        <v>1814.748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>
      <c r="A182" s="5"/>
      <c r="B182" s="24" t="str">
        <f>Planejamento!B112</f>
        <v>Espelho Banheiro 0,85 X 1,20</v>
      </c>
      <c r="C182" s="50"/>
      <c r="D182" s="50"/>
      <c r="E182" s="39" t="str">
        <f>Planejamento!C112</f>
        <v>unidade</v>
      </c>
      <c r="F182" s="39">
        <f>Planejamento!D112</f>
        <v>1</v>
      </c>
      <c r="G182" s="50"/>
      <c r="H182" s="53">
        <f>Planejamento!N112</f>
        <v>1058.6029999999998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hidden="1" customHeight="1">
      <c r="A183" s="5"/>
      <c r="B183" s="50" t="str">
        <f>Planejamento!B113</f>
        <v xml:space="preserve">instalação de chuveiro  </v>
      </c>
      <c r="C183" s="50"/>
      <c r="D183" s="50"/>
      <c r="E183" s="39" t="str">
        <f>Planejamento!C113</f>
        <v>unidade</v>
      </c>
      <c r="F183" s="39">
        <f>Planejamento!D113</f>
        <v>0</v>
      </c>
      <c r="G183" s="50"/>
      <c r="H183" s="53">
        <f>Planejamento!N113</f>
        <v>0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hidden="1" customHeight="1">
      <c r="A184" s="5"/>
      <c r="B184" s="50" t="str">
        <f>Planejamento!B114</f>
        <v xml:space="preserve">instalação de ducha  higiênica </v>
      </c>
      <c r="C184" s="50"/>
      <c r="D184" s="50"/>
      <c r="E184" s="39" t="str">
        <f>Planejamento!C114</f>
        <v>unidade</v>
      </c>
      <c r="F184" s="39">
        <f>Planejamento!D114</f>
        <v>0</v>
      </c>
      <c r="G184" s="50"/>
      <c r="H184" s="53">
        <f>Planejamento!N114</f>
        <v>0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hidden="1" customHeight="1">
      <c r="A185" s="5"/>
      <c r="B185" s="50" t="str">
        <f>Planejamento!B115</f>
        <v xml:space="preserve">instalação de fechadura eletrônica </v>
      </c>
      <c r="C185" s="50"/>
      <c r="D185" s="50"/>
      <c r="E185" s="39" t="str">
        <f>Planejamento!C115</f>
        <v>unidade</v>
      </c>
      <c r="F185" s="39">
        <f>Planejamento!D115</f>
        <v>0</v>
      </c>
      <c r="G185" s="50"/>
      <c r="H185" s="53">
        <f>Planejamento!N115</f>
        <v>0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hidden="1" customHeight="1">
      <c r="A186" s="5"/>
      <c r="B186" s="50" t="str">
        <f>Planejamento!B116</f>
        <v xml:space="preserve">instalação de metais - porta papel higiênico </v>
      </c>
      <c r="C186" s="50"/>
      <c r="D186" s="50"/>
      <c r="E186" s="39" t="str">
        <f>Planejamento!C116</f>
        <v>unidade</v>
      </c>
      <c r="F186" s="39">
        <f>Planejamento!D116</f>
        <v>0</v>
      </c>
      <c r="G186" s="50"/>
      <c r="H186" s="53">
        <f>Planejamento!N116</f>
        <v>0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hidden="1" customHeight="1">
      <c r="A187" s="5"/>
      <c r="B187" s="50" t="str">
        <f>Planejamento!B117</f>
        <v xml:space="preserve">instalação de metais - toalheiro </v>
      </c>
      <c r="C187" s="50"/>
      <c r="D187" s="50"/>
      <c r="E187" s="39" t="str">
        <f>Planejamento!C117</f>
        <v>unidade</v>
      </c>
      <c r="F187" s="39">
        <f>Planejamento!D117</f>
        <v>0</v>
      </c>
      <c r="G187" s="50"/>
      <c r="H187" s="53">
        <f>Planejamento!N117</f>
        <v>0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hidden="1" customHeight="1">
      <c r="A188" s="5"/>
      <c r="B188" s="50" t="str">
        <f>Planejamento!B118</f>
        <v xml:space="preserve">Instalação de rodapé  </v>
      </c>
      <c r="C188" s="50"/>
      <c r="D188" s="50"/>
      <c r="E188" s="39" t="str">
        <f>Planejamento!C118</f>
        <v>ml</v>
      </c>
      <c r="F188" s="39">
        <f>Planejamento!D118</f>
        <v>0</v>
      </c>
      <c r="G188" s="50"/>
      <c r="H188" s="53">
        <f>Planejamento!N118</f>
        <v>0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hidden="1" customHeight="1">
      <c r="A189" s="5"/>
      <c r="B189" s="50" t="str">
        <f>Planejamento!B119</f>
        <v xml:space="preserve">instalação de torneiras duplo comando  </v>
      </c>
      <c r="C189" s="50"/>
      <c r="D189" s="50"/>
      <c r="E189" s="39" t="str">
        <f>Planejamento!C119</f>
        <v>unidade</v>
      </c>
      <c r="F189" s="39">
        <f>Planejamento!D119</f>
        <v>0</v>
      </c>
      <c r="G189" s="50"/>
      <c r="H189" s="53">
        <f>Planejamento!N119</f>
        <v>0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hidden="1" customHeight="1">
      <c r="A190" s="5"/>
      <c r="B190" s="50" t="str">
        <f>Planejamento!B120</f>
        <v>instalação de torneiras monocomando</v>
      </c>
      <c r="C190" s="50"/>
      <c r="D190" s="50"/>
      <c r="E190" s="39" t="str">
        <f>Planejamento!C120</f>
        <v>unidade</v>
      </c>
      <c r="F190" s="39">
        <f>Planejamento!D120</f>
        <v>0</v>
      </c>
      <c r="G190" s="50"/>
      <c r="H190" s="53">
        <f>Planejamento!N120</f>
        <v>0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hidden="1" customHeight="1">
      <c r="A191" s="5"/>
      <c r="B191" s="22"/>
      <c r="C191" s="57"/>
      <c r="D191" s="57"/>
      <c r="E191" s="58"/>
      <c r="F191" s="9"/>
      <c r="G191" s="9"/>
      <c r="H191" s="49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hidden="1" customHeight="1">
      <c r="A192" s="5"/>
      <c r="B192" s="36" t="s">
        <v>21</v>
      </c>
      <c r="C192" s="12"/>
      <c r="D192" s="12"/>
      <c r="E192" s="12"/>
      <c r="F192" s="13">
        <f>H192*100/(G199)</f>
        <v>0</v>
      </c>
      <c r="G192" s="13" t="s">
        <v>5</v>
      </c>
      <c r="H192" s="14">
        <f>SUM(H196)</f>
        <v>0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hidden="1" customHeight="1">
      <c r="A193" s="5"/>
      <c r="B193" s="43"/>
      <c r="C193" s="44"/>
      <c r="D193" s="44"/>
      <c r="E193" s="45"/>
      <c r="F193" s="46"/>
      <c r="G193" s="46"/>
      <c r="H193" s="33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2.75" hidden="1" customHeight="1">
      <c r="A194" s="5"/>
      <c r="B194" s="28"/>
      <c r="C194" s="29"/>
      <c r="D194" s="29"/>
      <c r="E194" s="47" t="s">
        <v>7</v>
      </c>
      <c r="F194" s="47" t="s">
        <v>8</v>
      </c>
      <c r="G194" s="30"/>
      <c r="H194" s="33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hidden="1" customHeight="1">
      <c r="A195" s="5"/>
      <c r="B195" s="50"/>
      <c r="C195" s="50"/>
      <c r="D195" s="50"/>
      <c r="E195" s="50"/>
      <c r="F195" s="50"/>
      <c r="G195" s="50"/>
      <c r="H195" s="5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hidden="1" customHeight="1">
      <c r="A196" s="5"/>
      <c r="B196" s="50" t="str">
        <f>Planejamento!B121</f>
        <v>Limpeza pós Obra Especializada</v>
      </c>
      <c r="C196" s="50"/>
      <c r="D196" s="50"/>
      <c r="E196" s="39" t="str">
        <f>Planejamento!C121</f>
        <v>m²</v>
      </c>
      <c r="F196" s="39">
        <f>Planejamento!D121</f>
        <v>0</v>
      </c>
      <c r="G196" s="50"/>
      <c r="H196" s="53">
        <f>Planejamento!N121</f>
        <v>0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hidden="1" customHeight="1">
      <c r="A197" s="5"/>
      <c r="C197" s="50"/>
      <c r="D197" s="50"/>
      <c r="E197" s="39"/>
      <c r="F197" s="39"/>
      <c r="G197" s="50"/>
      <c r="H197" s="5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>
      <c r="A198" s="5"/>
      <c r="B198" s="50"/>
      <c r="C198" s="29"/>
      <c r="D198" s="29"/>
      <c r="E198" s="51"/>
      <c r="F198" s="56"/>
      <c r="G198" s="56"/>
      <c r="H198" s="31"/>
      <c r="I198" s="59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>
      <c r="A199" s="5"/>
      <c r="B199" s="29"/>
      <c r="C199" s="29"/>
      <c r="D199" s="29"/>
      <c r="E199" s="181" t="s">
        <v>22</v>
      </c>
      <c r="F199" s="171"/>
      <c r="G199" s="182">
        <f>SUM(H8,H18,H28,H47,H56,H79,H93,H108,H114,H135,H153,H164,H173,H192)</f>
        <v>28620.637380499997</v>
      </c>
      <c r="H199" s="17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>
      <c r="A200" s="5"/>
      <c r="B200" s="29"/>
      <c r="C200" s="29"/>
      <c r="D200" s="29"/>
      <c r="E200" s="51"/>
      <c r="F200" s="56"/>
      <c r="G200" s="56"/>
      <c r="H200" s="3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>
      <c r="A201" s="5"/>
      <c r="B201" s="28"/>
      <c r="C201" s="28"/>
      <c r="D201" s="28"/>
      <c r="E201" s="28"/>
      <c r="F201" s="28"/>
      <c r="G201" s="28"/>
      <c r="H201" s="28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4.4">
      <c r="A202" s="5"/>
      <c r="B202" s="28"/>
      <c r="C202" s="28"/>
      <c r="D202" s="28"/>
      <c r="E202" s="23"/>
      <c r="F202" s="56"/>
      <c r="G202" s="56"/>
      <c r="H202" s="31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</row>
    <row r="203" spans="1:28" ht="14.4">
      <c r="A203" s="5"/>
      <c r="B203" s="61"/>
      <c r="C203" s="61"/>
      <c r="D203" s="61"/>
      <c r="E203" s="61"/>
      <c r="F203" s="61"/>
      <c r="G203" s="61"/>
      <c r="H203" s="6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4.4">
      <c r="A204" s="5"/>
      <c r="B204" s="183"/>
      <c r="C204" s="170"/>
      <c r="D204" s="170"/>
      <c r="E204" s="170"/>
      <c r="F204" s="170"/>
      <c r="G204" s="170"/>
      <c r="H204" s="17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>
      <c r="A205" s="5"/>
      <c r="B205" s="5"/>
      <c r="C205" s="5"/>
      <c r="D205" s="5"/>
      <c r="E205" s="5"/>
      <c r="F205" s="28"/>
      <c r="G205" s="28"/>
      <c r="H205" s="63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hidden="1" customHeight="1">
      <c r="A206" s="1"/>
      <c r="B206" s="64"/>
      <c r="C206" s="64"/>
      <c r="D206" s="64"/>
      <c r="E206" s="65"/>
      <c r="F206" s="66"/>
      <c r="G206" s="66"/>
      <c r="H206" s="66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hidden="1" customHeight="1">
      <c r="A207" s="1"/>
      <c r="B207" s="64"/>
      <c r="C207" s="64"/>
      <c r="D207" s="64"/>
      <c r="E207" s="65"/>
      <c r="F207" s="66"/>
      <c r="G207" s="66"/>
      <c r="H207" s="66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hidden="1" customHeight="1">
      <c r="A208" s="1"/>
      <c r="B208" s="64"/>
      <c r="C208" s="64"/>
      <c r="D208" s="64"/>
      <c r="E208" s="65"/>
      <c r="F208" s="66"/>
      <c r="G208" s="66"/>
      <c r="H208" s="66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hidden="1" customHeight="1">
      <c r="A209" s="1"/>
      <c r="B209" s="64"/>
      <c r="C209" s="64"/>
      <c r="D209" s="64"/>
      <c r="E209" s="65"/>
      <c r="F209" s="66"/>
      <c r="G209" s="66"/>
      <c r="H209" s="66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hidden="1" customHeight="1">
      <c r="A210" s="1"/>
      <c r="B210" s="64"/>
      <c r="C210" s="64"/>
      <c r="D210" s="64"/>
      <c r="E210" s="65"/>
      <c r="F210" s="66"/>
      <c r="G210" s="66"/>
      <c r="H210" s="66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hidden="1" customHeight="1">
      <c r="A211" s="1"/>
      <c r="B211" s="64"/>
      <c r="C211" s="64"/>
      <c r="D211" s="64"/>
      <c r="E211" s="65"/>
      <c r="F211" s="66"/>
      <c r="G211" s="66"/>
      <c r="H211" s="66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hidden="1" customHeight="1">
      <c r="A212" s="1"/>
      <c r="B212" s="64"/>
      <c r="C212" s="64"/>
      <c r="D212" s="64"/>
      <c r="E212" s="65"/>
      <c r="F212" s="66"/>
      <c r="G212" s="66"/>
      <c r="H212" s="66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hidden="1" customHeight="1">
      <c r="A213" s="1"/>
      <c r="B213" s="64"/>
      <c r="C213" s="64"/>
      <c r="D213" s="64"/>
      <c r="E213" s="65"/>
      <c r="F213" s="66"/>
      <c r="G213" s="66"/>
      <c r="H213" s="66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hidden="1" customHeight="1">
      <c r="A214" s="1"/>
      <c r="B214" s="64"/>
      <c r="C214" s="64"/>
      <c r="D214" s="64"/>
      <c r="E214" s="65"/>
      <c r="F214" s="66"/>
      <c r="G214" s="66"/>
      <c r="H214" s="66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hidden="1" customHeight="1">
      <c r="A215" s="1"/>
      <c r="B215" s="64"/>
      <c r="C215" s="64"/>
      <c r="D215" s="64"/>
      <c r="E215" s="65"/>
      <c r="F215" s="66"/>
      <c r="G215" s="66"/>
      <c r="H215" s="66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hidden="1" customHeight="1">
      <c r="A216" s="1"/>
      <c r="B216" s="64"/>
      <c r="C216" s="64"/>
      <c r="D216" s="64"/>
      <c r="E216" s="65"/>
      <c r="F216" s="66"/>
      <c r="G216" s="66"/>
      <c r="H216" s="66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hidden="1" customHeight="1">
      <c r="A217" s="1"/>
      <c r="B217" s="64"/>
      <c r="C217" s="64"/>
      <c r="D217" s="64"/>
      <c r="E217" s="65"/>
      <c r="F217" s="66"/>
      <c r="G217" s="66"/>
      <c r="H217" s="66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hidden="1" customHeight="1">
      <c r="A218" s="1"/>
      <c r="B218" s="64"/>
      <c r="C218" s="64"/>
      <c r="D218" s="64"/>
      <c r="E218" s="65"/>
      <c r="F218" s="66"/>
      <c r="G218" s="66"/>
      <c r="H218" s="66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hidden="1" customHeight="1">
      <c r="A219" s="1"/>
      <c r="B219" s="64"/>
      <c r="C219" s="64"/>
      <c r="D219" s="64"/>
      <c r="E219" s="65"/>
      <c r="F219" s="66"/>
      <c r="G219" s="66"/>
      <c r="H219" s="66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hidden="1" customHeight="1">
      <c r="A220" s="1"/>
      <c r="B220" s="64"/>
      <c r="C220" s="64"/>
      <c r="D220" s="64"/>
      <c r="E220" s="65"/>
      <c r="F220" s="66"/>
      <c r="G220" s="66"/>
      <c r="H220" s="66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75" hidden="1" customHeight="1">
      <c r="A221" s="1"/>
      <c r="B221" s="64"/>
      <c r="C221" s="64"/>
      <c r="D221" s="64"/>
      <c r="E221" s="65"/>
      <c r="F221" s="66"/>
      <c r="G221" s="66"/>
      <c r="H221" s="66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75" hidden="1" customHeight="1">
      <c r="A222" s="1"/>
      <c r="B222" s="64"/>
      <c r="C222" s="64"/>
      <c r="D222" s="64"/>
      <c r="E222" s="65"/>
      <c r="F222" s="66"/>
      <c r="G222" s="66"/>
      <c r="H222" s="66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75" hidden="1" customHeight="1">
      <c r="A223" s="1"/>
      <c r="B223" s="64"/>
      <c r="C223" s="64"/>
      <c r="D223" s="64"/>
      <c r="E223" s="65"/>
      <c r="F223" s="66"/>
      <c r="G223" s="66"/>
      <c r="H223" s="66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hidden="1" customHeight="1">
      <c r="A224" s="1"/>
      <c r="B224" s="64"/>
      <c r="C224" s="64"/>
      <c r="D224" s="64"/>
      <c r="E224" s="65"/>
      <c r="F224" s="66"/>
      <c r="G224" s="66"/>
      <c r="H224" s="66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hidden="1" customHeight="1">
      <c r="A225" s="1"/>
      <c r="B225" s="64"/>
      <c r="C225" s="64"/>
      <c r="D225" s="64"/>
      <c r="E225" s="65"/>
      <c r="F225" s="66"/>
      <c r="G225" s="66"/>
      <c r="H225" s="66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hidden="1" customHeight="1">
      <c r="A226" s="1"/>
      <c r="B226" s="64"/>
      <c r="C226" s="64"/>
      <c r="D226" s="64"/>
      <c r="E226" s="65"/>
      <c r="F226" s="66"/>
      <c r="G226" s="66"/>
      <c r="H226" s="66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hidden="1" customHeight="1">
      <c r="A227" s="1"/>
      <c r="B227" s="64"/>
      <c r="C227" s="64"/>
      <c r="D227" s="64"/>
      <c r="E227" s="65"/>
      <c r="F227" s="66"/>
      <c r="G227" s="66"/>
      <c r="H227" s="66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hidden="1" customHeight="1">
      <c r="A228" s="1"/>
      <c r="B228" s="64"/>
      <c r="C228" s="64"/>
      <c r="D228" s="64"/>
      <c r="E228" s="65"/>
      <c r="F228" s="66"/>
      <c r="G228" s="66"/>
      <c r="H228" s="66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hidden="1" customHeight="1">
      <c r="A229" s="1"/>
      <c r="B229" s="64"/>
      <c r="C229" s="64"/>
      <c r="D229" s="64"/>
      <c r="E229" s="65"/>
      <c r="F229" s="66"/>
      <c r="G229" s="66"/>
      <c r="H229" s="66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hidden="1" customHeight="1">
      <c r="A230" s="1"/>
      <c r="B230" s="64"/>
      <c r="C230" s="64"/>
      <c r="D230" s="64"/>
      <c r="E230" s="65"/>
      <c r="F230" s="66"/>
      <c r="G230" s="66"/>
      <c r="H230" s="66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hidden="1" customHeight="1">
      <c r="A231" s="1"/>
      <c r="B231" s="64"/>
      <c r="C231" s="64"/>
      <c r="D231" s="64"/>
      <c r="E231" s="65"/>
      <c r="F231" s="66"/>
      <c r="G231" s="66"/>
      <c r="H231" s="66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75" hidden="1" customHeight="1">
      <c r="A232" s="1"/>
      <c r="B232" s="64"/>
      <c r="C232" s="64"/>
      <c r="D232" s="64"/>
      <c r="E232" s="65"/>
      <c r="F232" s="66"/>
      <c r="G232" s="66"/>
      <c r="H232" s="66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75" hidden="1" customHeight="1">
      <c r="A233" s="1"/>
      <c r="B233" s="64"/>
      <c r="C233" s="64"/>
      <c r="D233" s="64"/>
      <c r="E233" s="65"/>
      <c r="F233" s="66"/>
      <c r="G233" s="66"/>
      <c r="H233" s="66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75" hidden="1" customHeight="1">
      <c r="A234" s="1"/>
      <c r="B234" s="64"/>
      <c r="C234" s="64"/>
      <c r="D234" s="64"/>
      <c r="E234" s="65"/>
      <c r="F234" s="66"/>
      <c r="G234" s="66"/>
      <c r="H234" s="66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75" hidden="1" customHeight="1">
      <c r="A235" s="1"/>
      <c r="B235" s="64"/>
      <c r="C235" s="64"/>
      <c r="D235" s="64"/>
      <c r="E235" s="65"/>
      <c r="F235" s="66"/>
      <c r="G235" s="66"/>
      <c r="H235" s="66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75" hidden="1" customHeight="1">
      <c r="A236" s="1"/>
      <c r="B236" s="64"/>
      <c r="C236" s="64"/>
      <c r="D236" s="64"/>
      <c r="E236" s="65"/>
      <c r="F236" s="66"/>
      <c r="G236" s="66"/>
      <c r="H236" s="66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.75" hidden="1" customHeight="1">
      <c r="A237" s="1"/>
      <c r="B237" s="64"/>
      <c r="C237" s="64"/>
      <c r="D237" s="64"/>
      <c r="E237" s="65"/>
      <c r="F237" s="66"/>
      <c r="G237" s="66"/>
      <c r="H237" s="66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.75" hidden="1" customHeight="1">
      <c r="A238" s="1"/>
      <c r="B238" s="64"/>
      <c r="C238" s="64"/>
      <c r="D238" s="64"/>
      <c r="E238" s="65"/>
      <c r="F238" s="66"/>
      <c r="G238" s="66"/>
      <c r="H238" s="66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.75" hidden="1" customHeight="1">
      <c r="A239" s="1"/>
      <c r="B239" s="64"/>
      <c r="C239" s="64"/>
      <c r="D239" s="64"/>
      <c r="E239" s="65"/>
      <c r="F239" s="66"/>
      <c r="G239" s="66"/>
      <c r="H239" s="66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.75" hidden="1" customHeight="1">
      <c r="A240" s="1"/>
      <c r="B240" s="64"/>
      <c r="C240" s="64"/>
      <c r="D240" s="64"/>
      <c r="E240" s="65"/>
      <c r="F240" s="66"/>
      <c r="G240" s="66"/>
      <c r="H240" s="66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.75" hidden="1" customHeight="1">
      <c r="A241" s="1"/>
      <c r="B241" s="64"/>
      <c r="C241" s="64"/>
      <c r="D241" s="64"/>
      <c r="E241" s="65"/>
      <c r="F241" s="66"/>
      <c r="G241" s="66"/>
      <c r="H241" s="66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.75" hidden="1" customHeight="1">
      <c r="A242" s="1"/>
      <c r="B242" s="64"/>
      <c r="C242" s="64"/>
      <c r="D242" s="64"/>
      <c r="E242" s="65"/>
      <c r="F242" s="66"/>
      <c r="G242" s="66"/>
      <c r="H242" s="66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.75" hidden="1" customHeight="1">
      <c r="A243" s="1"/>
      <c r="B243" s="64"/>
      <c r="C243" s="64"/>
      <c r="D243" s="64"/>
      <c r="E243" s="65"/>
      <c r="F243" s="66"/>
      <c r="G243" s="66"/>
      <c r="H243" s="66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.75" hidden="1" customHeight="1">
      <c r="A244" s="1"/>
      <c r="B244" s="64"/>
      <c r="C244" s="64"/>
      <c r="D244" s="64"/>
      <c r="E244" s="65"/>
      <c r="F244" s="66"/>
      <c r="G244" s="66"/>
      <c r="H244" s="66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.75" hidden="1" customHeight="1">
      <c r="A245" s="1"/>
      <c r="B245" s="64"/>
      <c r="C245" s="64"/>
      <c r="D245" s="64"/>
      <c r="E245" s="65"/>
      <c r="F245" s="66"/>
      <c r="G245" s="66"/>
      <c r="H245" s="66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.75" hidden="1" customHeight="1">
      <c r="A246" s="1"/>
      <c r="B246" s="64"/>
      <c r="C246" s="64"/>
      <c r="D246" s="64"/>
      <c r="E246" s="65"/>
      <c r="F246" s="66"/>
      <c r="G246" s="66"/>
      <c r="H246" s="66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.75" hidden="1" customHeight="1">
      <c r="A247" s="1"/>
      <c r="B247" s="64"/>
      <c r="C247" s="64"/>
      <c r="D247" s="64"/>
      <c r="E247" s="65"/>
      <c r="F247" s="66"/>
      <c r="G247" s="66"/>
      <c r="H247" s="66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.75" hidden="1" customHeight="1">
      <c r="A248" s="1"/>
      <c r="B248" s="64"/>
      <c r="C248" s="64"/>
      <c r="D248" s="64"/>
      <c r="E248" s="65"/>
      <c r="F248" s="66"/>
      <c r="G248" s="66"/>
      <c r="H248" s="66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.75" hidden="1" customHeight="1">
      <c r="A249" s="1"/>
      <c r="B249" s="64"/>
      <c r="C249" s="64"/>
      <c r="D249" s="64"/>
      <c r="E249" s="65"/>
      <c r="F249" s="66"/>
      <c r="G249" s="66"/>
      <c r="H249" s="66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.75" hidden="1" customHeight="1">
      <c r="A250" s="1"/>
      <c r="B250" s="64"/>
      <c r="C250" s="64"/>
      <c r="D250" s="64"/>
      <c r="E250" s="65"/>
      <c r="F250" s="66"/>
      <c r="G250" s="66"/>
      <c r="H250" s="66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.75" hidden="1" customHeight="1">
      <c r="A251" s="1"/>
      <c r="B251" s="64"/>
      <c r="C251" s="64"/>
      <c r="D251" s="64"/>
      <c r="E251" s="65"/>
      <c r="F251" s="66"/>
      <c r="G251" s="66"/>
      <c r="H251" s="66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.75" hidden="1" customHeight="1">
      <c r="A252" s="1"/>
      <c r="B252" s="64"/>
      <c r="C252" s="64"/>
      <c r="D252" s="64"/>
      <c r="E252" s="65"/>
      <c r="F252" s="66"/>
      <c r="G252" s="66"/>
      <c r="H252" s="66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.75" hidden="1" customHeight="1">
      <c r="A253" s="1"/>
      <c r="B253" s="64"/>
      <c r="C253" s="64"/>
      <c r="D253" s="64"/>
      <c r="E253" s="65"/>
      <c r="F253" s="66"/>
      <c r="G253" s="66"/>
      <c r="H253" s="66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.75" hidden="1" customHeight="1">
      <c r="A254" s="1"/>
      <c r="B254" s="64"/>
      <c r="C254" s="64"/>
      <c r="D254" s="64"/>
      <c r="E254" s="65"/>
      <c r="F254" s="66"/>
      <c r="G254" s="66"/>
      <c r="H254" s="66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.75" hidden="1" customHeight="1">
      <c r="A255" s="1"/>
      <c r="B255" s="64"/>
      <c r="C255" s="64"/>
      <c r="D255" s="64"/>
      <c r="E255" s="65"/>
      <c r="F255" s="66"/>
      <c r="G255" s="66"/>
      <c r="H255" s="66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.75" hidden="1" customHeight="1">
      <c r="A256" s="1"/>
      <c r="B256" s="64"/>
      <c r="C256" s="64"/>
      <c r="D256" s="64"/>
      <c r="E256" s="65"/>
      <c r="F256" s="66"/>
      <c r="G256" s="66"/>
      <c r="H256" s="66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.75" hidden="1" customHeight="1">
      <c r="A257" s="1"/>
      <c r="B257" s="64"/>
      <c r="C257" s="64"/>
      <c r="D257" s="64"/>
      <c r="E257" s="65"/>
      <c r="F257" s="66"/>
      <c r="G257" s="66"/>
      <c r="H257" s="66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.75" hidden="1" customHeight="1">
      <c r="A258" s="1"/>
      <c r="B258" s="64"/>
      <c r="C258" s="64"/>
      <c r="D258" s="64"/>
      <c r="E258" s="65"/>
      <c r="F258" s="66"/>
      <c r="G258" s="66"/>
      <c r="H258" s="66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.75" hidden="1" customHeight="1">
      <c r="A259" s="1"/>
      <c r="B259" s="64"/>
      <c r="C259" s="64"/>
      <c r="D259" s="64"/>
      <c r="E259" s="65"/>
      <c r="F259" s="66"/>
      <c r="G259" s="66"/>
      <c r="H259" s="66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.75" hidden="1" customHeight="1">
      <c r="A260" s="1"/>
      <c r="B260" s="64"/>
      <c r="C260" s="64"/>
      <c r="D260" s="64"/>
      <c r="E260" s="65"/>
      <c r="F260" s="66"/>
      <c r="G260" s="66"/>
      <c r="H260" s="66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.75" hidden="1" customHeight="1">
      <c r="A261" s="1"/>
      <c r="B261" s="64"/>
      <c r="C261" s="64"/>
      <c r="D261" s="64"/>
      <c r="E261" s="65"/>
      <c r="F261" s="66"/>
      <c r="G261" s="66"/>
      <c r="H261" s="66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.75" hidden="1" customHeight="1">
      <c r="A262" s="1"/>
      <c r="B262" s="64"/>
      <c r="C262" s="64"/>
      <c r="D262" s="64"/>
      <c r="E262" s="65"/>
      <c r="F262" s="66"/>
      <c r="G262" s="66"/>
      <c r="H262" s="66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.75" hidden="1" customHeight="1">
      <c r="A263" s="1"/>
      <c r="B263" s="64"/>
      <c r="C263" s="64"/>
      <c r="D263" s="64"/>
      <c r="E263" s="65"/>
      <c r="F263" s="66"/>
      <c r="G263" s="66"/>
      <c r="H263" s="66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.75" hidden="1" customHeight="1">
      <c r="A264" s="1"/>
      <c r="B264" s="64"/>
      <c r="C264" s="64"/>
      <c r="D264" s="64"/>
      <c r="E264" s="65"/>
      <c r="F264" s="66"/>
      <c r="G264" s="66"/>
      <c r="H264" s="66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.75" hidden="1" customHeight="1">
      <c r="A265" s="1"/>
      <c r="B265" s="64"/>
      <c r="C265" s="64"/>
      <c r="D265" s="64"/>
      <c r="E265" s="65"/>
      <c r="F265" s="66"/>
      <c r="G265" s="66"/>
      <c r="H265" s="66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.75" hidden="1" customHeight="1">
      <c r="A266" s="1"/>
      <c r="B266" s="64"/>
      <c r="C266" s="64"/>
      <c r="D266" s="64"/>
      <c r="E266" s="65"/>
      <c r="F266" s="66"/>
      <c r="G266" s="66"/>
      <c r="H266" s="66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.75" hidden="1" customHeight="1">
      <c r="A267" s="1"/>
      <c r="B267" s="64"/>
      <c r="C267" s="64"/>
      <c r="D267" s="64"/>
      <c r="E267" s="65"/>
      <c r="F267" s="66"/>
      <c r="G267" s="66"/>
      <c r="H267" s="66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.75" hidden="1" customHeight="1">
      <c r="A268" s="1"/>
      <c r="B268" s="64"/>
      <c r="C268" s="64"/>
      <c r="D268" s="64"/>
      <c r="E268" s="65"/>
      <c r="F268" s="66"/>
      <c r="G268" s="66"/>
      <c r="H268" s="66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.75" hidden="1" customHeight="1">
      <c r="A269" s="1"/>
      <c r="B269" s="64"/>
      <c r="C269" s="64"/>
      <c r="D269" s="64"/>
      <c r="E269" s="65"/>
      <c r="F269" s="66"/>
      <c r="G269" s="66"/>
      <c r="H269" s="66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.75" hidden="1" customHeight="1">
      <c r="A270" s="1"/>
      <c r="B270" s="64"/>
      <c r="C270" s="64"/>
      <c r="D270" s="64"/>
      <c r="E270" s="65"/>
      <c r="F270" s="66"/>
      <c r="G270" s="66"/>
      <c r="H270" s="66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.75" hidden="1" customHeight="1">
      <c r="A271" s="1"/>
      <c r="B271" s="64"/>
      <c r="C271" s="64"/>
      <c r="D271" s="64"/>
      <c r="E271" s="65"/>
      <c r="F271" s="66"/>
      <c r="G271" s="66"/>
      <c r="H271" s="66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.75" hidden="1" customHeight="1">
      <c r="A272" s="1"/>
      <c r="B272" s="64"/>
      <c r="C272" s="64"/>
      <c r="D272" s="64"/>
      <c r="E272" s="65"/>
      <c r="F272" s="66"/>
      <c r="G272" s="66"/>
      <c r="H272" s="66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.75" hidden="1" customHeight="1">
      <c r="A273" s="1"/>
      <c r="B273" s="64"/>
      <c r="C273" s="64"/>
      <c r="D273" s="64"/>
      <c r="E273" s="65"/>
      <c r="F273" s="66"/>
      <c r="G273" s="66"/>
      <c r="H273" s="66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.75" hidden="1" customHeight="1">
      <c r="A274" s="1"/>
      <c r="B274" s="64"/>
      <c r="C274" s="64"/>
      <c r="D274" s="64"/>
      <c r="E274" s="65"/>
      <c r="F274" s="66"/>
      <c r="G274" s="66"/>
      <c r="H274" s="66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.75" hidden="1" customHeight="1">
      <c r="A275" s="1"/>
      <c r="B275" s="64"/>
      <c r="C275" s="64"/>
      <c r="D275" s="64"/>
      <c r="E275" s="65"/>
      <c r="F275" s="66"/>
      <c r="G275" s="66"/>
      <c r="H275" s="66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.75" hidden="1" customHeight="1">
      <c r="A276" s="1"/>
      <c r="B276" s="64"/>
      <c r="C276" s="64"/>
      <c r="D276" s="64"/>
      <c r="E276" s="65"/>
      <c r="F276" s="66"/>
      <c r="G276" s="66"/>
      <c r="H276" s="66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.75" hidden="1" customHeight="1">
      <c r="A277" s="1"/>
      <c r="B277" s="64"/>
      <c r="C277" s="64"/>
      <c r="D277" s="64"/>
      <c r="E277" s="65"/>
      <c r="F277" s="66"/>
      <c r="G277" s="66"/>
      <c r="H277" s="66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.75" hidden="1" customHeight="1">
      <c r="A278" s="1"/>
      <c r="B278" s="64"/>
      <c r="C278" s="64"/>
      <c r="D278" s="64"/>
      <c r="E278" s="65"/>
      <c r="F278" s="66"/>
      <c r="G278" s="66"/>
      <c r="H278" s="66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.75" hidden="1" customHeight="1">
      <c r="A279" s="1"/>
      <c r="B279" s="64"/>
      <c r="C279" s="64"/>
      <c r="D279" s="64"/>
      <c r="E279" s="65"/>
      <c r="F279" s="66"/>
      <c r="G279" s="66"/>
      <c r="H279" s="66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.75" hidden="1" customHeight="1">
      <c r="A280" s="1"/>
      <c r="B280" s="64"/>
      <c r="C280" s="64"/>
      <c r="D280" s="64"/>
      <c r="E280" s="65"/>
      <c r="F280" s="66"/>
      <c r="G280" s="66"/>
      <c r="H280" s="66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.75" hidden="1" customHeight="1">
      <c r="A281" s="1"/>
      <c r="B281" s="64"/>
      <c r="C281" s="64"/>
      <c r="D281" s="64"/>
      <c r="E281" s="65"/>
      <c r="F281" s="66"/>
      <c r="G281" s="66"/>
      <c r="H281" s="66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.75" hidden="1" customHeight="1">
      <c r="A282" s="1"/>
      <c r="B282" s="64"/>
      <c r="C282" s="64"/>
      <c r="D282" s="64"/>
      <c r="E282" s="65"/>
      <c r="F282" s="66"/>
      <c r="G282" s="66"/>
      <c r="H282" s="66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.75" hidden="1" customHeight="1">
      <c r="A283" s="1"/>
      <c r="B283" s="64"/>
      <c r="C283" s="64"/>
      <c r="D283" s="64"/>
      <c r="E283" s="65"/>
      <c r="F283" s="66"/>
      <c r="G283" s="66"/>
      <c r="H283" s="66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.75" hidden="1" customHeight="1">
      <c r="A284" s="1"/>
      <c r="B284" s="64"/>
      <c r="C284" s="64"/>
      <c r="D284" s="64"/>
      <c r="E284" s="65"/>
      <c r="F284" s="66"/>
      <c r="G284" s="66"/>
      <c r="H284" s="66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.75" hidden="1" customHeight="1">
      <c r="A285" s="1"/>
      <c r="B285" s="64"/>
      <c r="C285" s="64"/>
      <c r="D285" s="64"/>
      <c r="E285" s="65"/>
      <c r="F285" s="66"/>
      <c r="G285" s="66"/>
      <c r="H285" s="66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.75" hidden="1" customHeight="1">
      <c r="A286" s="1"/>
      <c r="B286" s="64"/>
      <c r="C286" s="64"/>
      <c r="D286" s="64"/>
      <c r="E286" s="65"/>
      <c r="F286" s="66"/>
      <c r="G286" s="66"/>
      <c r="H286" s="66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.75" hidden="1" customHeight="1">
      <c r="A287" s="1"/>
      <c r="B287" s="64"/>
      <c r="C287" s="64"/>
      <c r="D287" s="64"/>
      <c r="E287" s="65"/>
      <c r="F287" s="66"/>
      <c r="G287" s="66"/>
      <c r="H287" s="66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.75" hidden="1" customHeight="1">
      <c r="A288" s="1"/>
      <c r="B288" s="64"/>
      <c r="C288" s="64"/>
      <c r="D288" s="64"/>
      <c r="E288" s="65"/>
      <c r="F288" s="66"/>
      <c r="G288" s="66"/>
      <c r="H288" s="66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.75" hidden="1" customHeight="1">
      <c r="A289" s="1"/>
      <c r="B289" s="64"/>
      <c r="C289" s="64"/>
      <c r="D289" s="64"/>
      <c r="E289" s="65"/>
      <c r="F289" s="66"/>
      <c r="G289" s="66"/>
      <c r="H289" s="66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.75" hidden="1" customHeight="1">
      <c r="A290" s="1"/>
      <c r="B290" s="64"/>
      <c r="C290" s="64"/>
      <c r="D290" s="64"/>
      <c r="E290" s="65"/>
      <c r="F290" s="66"/>
      <c r="G290" s="66"/>
      <c r="H290" s="66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.75" hidden="1" customHeight="1">
      <c r="A291" s="1"/>
      <c r="B291" s="64"/>
      <c r="C291" s="64"/>
      <c r="D291" s="64"/>
      <c r="E291" s="65"/>
      <c r="F291" s="66"/>
      <c r="G291" s="66"/>
      <c r="H291" s="66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.75" hidden="1" customHeight="1">
      <c r="A292" s="1"/>
      <c r="B292" s="64"/>
      <c r="C292" s="64"/>
      <c r="D292" s="64"/>
      <c r="E292" s="65"/>
      <c r="F292" s="66"/>
      <c r="G292" s="66"/>
      <c r="H292" s="66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.75" hidden="1" customHeight="1">
      <c r="A293" s="1"/>
      <c r="B293" s="64"/>
      <c r="C293" s="64"/>
      <c r="D293" s="64"/>
      <c r="E293" s="65"/>
      <c r="F293" s="66"/>
      <c r="G293" s="66"/>
      <c r="H293" s="66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.75" hidden="1" customHeight="1">
      <c r="A294" s="1"/>
      <c r="B294" s="64"/>
      <c r="C294" s="64"/>
      <c r="D294" s="64"/>
      <c r="E294" s="65"/>
      <c r="F294" s="66"/>
      <c r="G294" s="66"/>
      <c r="H294" s="66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.75" hidden="1" customHeight="1">
      <c r="A295" s="1"/>
      <c r="B295" s="64"/>
      <c r="C295" s="64"/>
      <c r="D295" s="64"/>
      <c r="E295" s="65"/>
      <c r="F295" s="66"/>
      <c r="G295" s="66"/>
      <c r="H295" s="66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.75" hidden="1" customHeight="1">
      <c r="A296" s="1"/>
      <c r="B296" s="64"/>
      <c r="C296" s="64"/>
      <c r="D296" s="64"/>
      <c r="E296" s="65"/>
      <c r="F296" s="66"/>
      <c r="G296" s="66"/>
      <c r="H296" s="66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.75" hidden="1" customHeight="1">
      <c r="A297" s="1"/>
      <c r="B297" s="64"/>
      <c r="C297" s="64"/>
      <c r="D297" s="64"/>
      <c r="E297" s="65"/>
      <c r="F297" s="66"/>
      <c r="G297" s="66"/>
      <c r="H297" s="66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.75" hidden="1" customHeight="1">
      <c r="A298" s="1"/>
      <c r="B298" s="64"/>
      <c r="C298" s="64"/>
      <c r="D298" s="64"/>
      <c r="E298" s="65"/>
      <c r="F298" s="66"/>
      <c r="G298" s="66"/>
      <c r="H298" s="66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.75" hidden="1" customHeight="1">
      <c r="A299" s="1"/>
      <c r="B299" s="64"/>
      <c r="C299" s="64"/>
      <c r="D299" s="64"/>
      <c r="E299" s="65"/>
      <c r="F299" s="66"/>
      <c r="G299" s="66"/>
      <c r="H299" s="66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.75" hidden="1" customHeight="1">
      <c r="A300" s="1"/>
      <c r="B300" s="64"/>
      <c r="C300" s="64"/>
      <c r="D300" s="64"/>
      <c r="E300" s="65"/>
      <c r="F300" s="66"/>
      <c r="G300" s="66"/>
      <c r="H300" s="66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.75" hidden="1" customHeight="1">
      <c r="A301" s="1"/>
      <c r="B301" s="64"/>
      <c r="C301" s="64"/>
      <c r="D301" s="64"/>
      <c r="E301" s="65"/>
      <c r="F301" s="66"/>
      <c r="G301" s="66"/>
      <c r="H301" s="66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.75" hidden="1" customHeight="1">
      <c r="A302" s="1"/>
      <c r="B302" s="64"/>
      <c r="C302" s="64"/>
      <c r="D302" s="64"/>
      <c r="E302" s="65"/>
      <c r="F302" s="66"/>
      <c r="G302" s="66"/>
      <c r="H302" s="66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.75" hidden="1" customHeight="1">
      <c r="A303" s="1"/>
      <c r="B303" s="64"/>
      <c r="C303" s="64"/>
      <c r="D303" s="64"/>
      <c r="E303" s="65"/>
      <c r="F303" s="66"/>
      <c r="G303" s="66"/>
      <c r="H303" s="66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.75" hidden="1" customHeight="1">
      <c r="A304" s="1"/>
      <c r="B304" s="64"/>
      <c r="C304" s="64"/>
      <c r="D304" s="64"/>
      <c r="E304" s="65"/>
      <c r="F304" s="66"/>
      <c r="G304" s="66"/>
      <c r="H304" s="66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.75" hidden="1" customHeight="1">
      <c r="A305" s="1"/>
      <c r="B305" s="64"/>
      <c r="C305" s="64"/>
      <c r="D305" s="64"/>
      <c r="E305" s="65"/>
      <c r="F305" s="66"/>
      <c r="G305" s="66"/>
      <c r="H305" s="66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.75" hidden="1" customHeight="1">
      <c r="A306" s="1"/>
      <c r="B306" s="64"/>
      <c r="C306" s="64"/>
      <c r="D306" s="64"/>
      <c r="E306" s="65"/>
      <c r="F306" s="66"/>
      <c r="G306" s="66"/>
      <c r="H306" s="66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.75" hidden="1" customHeight="1">
      <c r="A307" s="1"/>
      <c r="B307" s="64"/>
      <c r="C307" s="64"/>
      <c r="D307" s="64"/>
      <c r="E307" s="65"/>
      <c r="F307" s="66"/>
      <c r="G307" s="66"/>
      <c r="H307" s="66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.75" hidden="1" customHeight="1">
      <c r="A308" s="1"/>
      <c r="B308" s="64"/>
      <c r="C308" s="64"/>
      <c r="D308" s="64"/>
      <c r="E308" s="65"/>
      <c r="F308" s="66"/>
      <c r="G308" s="66"/>
      <c r="H308" s="66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.75" hidden="1" customHeight="1">
      <c r="A309" s="1"/>
      <c r="B309" s="64"/>
      <c r="C309" s="64"/>
      <c r="D309" s="64"/>
      <c r="E309" s="65"/>
      <c r="F309" s="66"/>
      <c r="G309" s="66"/>
      <c r="H309" s="66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.75" hidden="1" customHeight="1">
      <c r="A310" s="1"/>
      <c r="B310" s="64"/>
      <c r="C310" s="64"/>
      <c r="D310" s="64"/>
      <c r="E310" s="65"/>
      <c r="F310" s="66"/>
      <c r="G310" s="66"/>
      <c r="H310" s="66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.75" hidden="1" customHeight="1">
      <c r="A311" s="1"/>
      <c r="B311" s="64"/>
      <c r="C311" s="64"/>
      <c r="D311" s="64"/>
      <c r="E311" s="65"/>
      <c r="F311" s="66"/>
      <c r="G311" s="66"/>
      <c r="H311" s="66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.75" hidden="1" customHeight="1">
      <c r="A312" s="1"/>
      <c r="B312" s="64"/>
      <c r="C312" s="64"/>
      <c r="D312" s="64"/>
      <c r="E312" s="65"/>
      <c r="F312" s="66"/>
      <c r="G312" s="66"/>
      <c r="H312" s="66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.75" hidden="1" customHeight="1">
      <c r="A313" s="1"/>
      <c r="B313" s="64"/>
      <c r="C313" s="64"/>
      <c r="D313" s="64"/>
      <c r="E313" s="65"/>
      <c r="F313" s="66"/>
      <c r="G313" s="66"/>
      <c r="H313" s="66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.75" hidden="1" customHeight="1">
      <c r="A314" s="1"/>
      <c r="B314" s="64"/>
      <c r="C314" s="64"/>
      <c r="D314" s="64"/>
      <c r="E314" s="65"/>
      <c r="F314" s="66"/>
      <c r="G314" s="66"/>
      <c r="H314" s="66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.75" hidden="1" customHeight="1">
      <c r="A315" s="1"/>
      <c r="B315" s="64"/>
      <c r="C315" s="64"/>
      <c r="D315" s="64"/>
      <c r="E315" s="65"/>
      <c r="F315" s="66"/>
      <c r="G315" s="66"/>
      <c r="H315" s="66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.75" hidden="1" customHeight="1">
      <c r="A316" s="1"/>
      <c r="B316" s="64"/>
      <c r="C316" s="64"/>
      <c r="D316" s="64"/>
      <c r="E316" s="65"/>
      <c r="F316" s="66"/>
      <c r="G316" s="66"/>
      <c r="H316" s="66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.75" hidden="1" customHeight="1">
      <c r="A317" s="1"/>
      <c r="B317" s="64"/>
      <c r="C317" s="64"/>
      <c r="D317" s="64"/>
      <c r="E317" s="65"/>
      <c r="F317" s="66"/>
      <c r="G317" s="66"/>
      <c r="H317" s="66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.75" hidden="1" customHeight="1">
      <c r="A318" s="1"/>
      <c r="B318" s="64"/>
      <c r="C318" s="64"/>
      <c r="D318" s="64"/>
      <c r="E318" s="65"/>
      <c r="F318" s="66"/>
      <c r="G318" s="66"/>
      <c r="H318" s="66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.75" hidden="1" customHeight="1">
      <c r="A319" s="1"/>
      <c r="B319" s="64"/>
      <c r="C319" s="64"/>
      <c r="D319" s="64"/>
      <c r="E319" s="65"/>
      <c r="F319" s="66"/>
      <c r="G319" s="66"/>
      <c r="H319" s="66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.75" hidden="1" customHeight="1">
      <c r="A320" s="1"/>
      <c r="B320" s="64"/>
      <c r="C320" s="64"/>
      <c r="D320" s="64"/>
      <c r="E320" s="65"/>
      <c r="F320" s="66"/>
      <c r="G320" s="66"/>
      <c r="H320" s="66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.75" hidden="1" customHeight="1">
      <c r="A321" s="1"/>
      <c r="B321" s="64"/>
      <c r="C321" s="64"/>
      <c r="D321" s="64"/>
      <c r="E321" s="65"/>
      <c r="F321" s="66"/>
      <c r="G321" s="66"/>
      <c r="H321" s="66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.75" hidden="1" customHeight="1">
      <c r="A322" s="1"/>
      <c r="B322" s="64"/>
      <c r="C322" s="64"/>
      <c r="D322" s="64"/>
      <c r="E322" s="65"/>
      <c r="F322" s="66"/>
      <c r="G322" s="66"/>
      <c r="H322" s="66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.75" hidden="1" customHeight="1">
      <c r="A323" s="1"/>
      <c r="B323" s="64"/>
      <c r="C323" s="64"/>
      <c r="D323" s="64"/>
      <c r="E323" s="65"/>
      <c r="F323" s="66"/>
      <c r="G323" s="66"/>
      <c r="H323" s="66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.75" hidden="1" customHeight="1">
      <c r="A324" s="1"/>
      <c r="B324" s="64"/>
      <c r="C324" s="64"/>
      <c r="D324" s="64"/>
      <c r="E324" s="65"/>
      <c r="F324" s="66"/>
      <c r="G324" s="66"/>
      <c r="H324" s="66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.75" hidden="1" customHeight="1">
      <c r="A325" s="1"/>
      <c r="B325" s="64"/>
      <c r="C325" s="64"/>
      <c r="D325" s="64"/>
      <c r="E325" s="65"/>
      <c r="F325" s="66"/>
      <c r="G325" s="66"/>
      <c r="H325" s="66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.75" hidden="1" customHeight="1">
      <c r="A326" s="1"/>
      <c r="B326" s="64"/>
      <c r="C326" s="64"/>
      <c r="D326" s="64"/>
      <c r="E326" s="65"/>
      <c r="F326" s="66"/>
      <c r="G326" s="66"/>
      <c r="H326" s="66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.75" hidden="1" customHeight="1">
      <c r="A327" s="1"/>
      <c r="B327" s="64"/>
      <c r="C327" s="64"/>
      <c r="D327" s="64"/>
      <c r="E327" s="65"/>
      <c r="F327" s="66"/>
      <c r="G327" s="66"/>
      <c r="H327" s="66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.75" hidden="1" customHeight="1">
      <c r="A328" s="1"/>
      <c r="B328" s="64"/>
      <c r="C328" s="64"/>
      <c r="D328" s="64"/>
      <c r="E328" s="65"/>
      <c r="F328" s="66"/>
      <c r="G328" s="66"/>
      <c r="H328" s="66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.75" hidden="1" customHeight="1">
      <c r="A329" s="1"/>
      <c r="B329" s="64"/>
      <c r="C329" s="64"/>
      <c r="D329" s="64"/>
      <c r="E329" s="65"/>
      <c r="F329" s="66"/>
      <c r="G329" s="66"/>
      <c r="H329" s="66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.75" hidden="1" customHeight="1">
      <c r="A330" s="1"/>
      <c r="B330" s="64"/>
      <c r="C330" s="64"/>
      <c r="D330" s="64"/>
      <c r="E330" s="65"/>
      <c r="F330" s="66"/>
      <c r="G330" s="66"/>
      <c r="H330" s="66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.75" hidden="1" customHeight="1">
      <c r="A331" s="1"/>
      <c r="B331" s="64"/>
      <c r="C331" s="64"/>
      <c r="D331" s="64"/>
      <c r="E331" s="65"/>
      <c r="F331" s="66"/>
      <c r="G331" s="66"/>
      <c r="H331" s="66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.75" hidden="1" customHeight="1">
      <c r="A332" s="1"/>
      <c r="B332" s="64"/>
      <c r="C332" s="64"/>
      <c r="D332" s="64"/>
      <c r="E332" s="65"/>
      <c r="F332" s="66"/>
      <c r="G332" s="66"/>
      <c r="H332" s="66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.75" hidden="1" customHeight="1">
      <c r="A333" s="1"/>
      <c r="B333" s="64"/>
      <c r="C333" s="64"/>
      <c r="D333" s="64"/>
      <c r="E333" s="65"/>
      <c r="F333" s="66"/>
      <c r="G333" s="66"/>
      <c r="H333" s="66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.75" hidden="1" customHeight="1">
      <c r="A334" s="1"/>
      <c r="B334" s="64"/>
      <c r="C334" s="64"/>
      <c r="D334" s="64"/>
      <c r="E334" s="65"/>
      <c r="F334" s="66"/>
      <c r="G334" s="66"/>
      <c r="H334" s="66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.75" hidden="1" customHeight="1">
      <c r="A335" s="1"/>
      <c r="B335" s="64"/>
      <c r="C335" s="64"/>
      <c r="D335" s="64"/>
      <c r="E335" s="65"/>
      <c r="F335" s="66"/>
      <c r="G335" s="66"/>
      <c r="H335" s="66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.75" hidden="1" customHeight="1">
      <c r="A336" s="1"/>
      <c r="B336" s="64"/>
      <c r="C336" s="64"/>
      <c r="D336" s="64"/>
      <c r="E336" s="65"/>
      <c r="F336" s="66"/>
      <c r="G336" s="66"/>
      <c r="H336" s="66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.75" hidden="1" customHeight="1">
      <c r="A337" s="1"/>
      <c r="B337" s="64"/>
      <c r="C337" s="64"/>
      <c r="D337" s="64"/>
      <c r="E337" s="65"/>
      <c r="F337" s="66"/>
      <c r="G337" s="66"/>
      <c r="H337" s="66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.75" hidden="1" customHeight="1">
      <c r="A338" s="1"/>
      <c r="B338" s="64"/>
      <c r="C338" s="64"/>
      <c r="D338" s="64"/>
      <c r="E338" s="65"/>
      <c r="F338" s="66"/>
      <c r="G338" s="66"/>
      <c r="H338" s="66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.75" hidden="1" customHeight="1">
      <c r="A339" s="1"/>
      <c r="B339" s="64"/>
      <c r="C339" s="64"/>
      <c r="D339" s="64"/>
      <c r="E339" s="65"/>
      <c r="F339" s="66"/>
      <c r="G339" s="66"/>
      <c r="H339" s="66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.75" hidden="1" customHeight="1">
      <c r="A340" s="1"/>
      <c r="B340" s="64"/>
      <c r="C340" s="64"/>
      <c r="D340" s="64"/>
      <c r="E340" s="65"/>
      <c r="F340" s="66"/>
      <c r="G340" s="66"/>
      <c r="H340" s="66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.75" hidden="1" customHeight="1">
      <c r="A341" s="1"/>
      <c r="B341" s="64"/>
      <c r="C341" s="64"/>
      <c r="D341" s="64"/>
      <c r="E341" s="65"/>
      <c r="F341" s="66"/>
      <c r="G341" s="66"/>
      <c r="H341" s="66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.75" hidden="1" customHeight="1">
      <c r="A342" s="1"/>
      <c r="B342" s="64"/>
      <c r="C342" s="64"/>
      <c r="D342" s="64"/>
      <c r="E342" s="65"/>
      <c r="F342" s="66"/>
      <c r="G342" s="66"/>
      <c r="H342" s="66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.75" hidden="1" customHeight="1">
      <c r="A343" s="1"/>
      <c r="B343" s="64"/>
      <c r="C343" s="64"/>
      <c r="D343" s="64"/>
      <c r="E343" s="65"/>
      <c r="F343" s="66"/>
      <c r="G343" s="66"/>
      <c r="H343" s="66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.75" hidden="1" customHeight="1">
      <c r="A344" s="1"/>
      <c r="B344" s="64"/>
      <c r="C344" s="64"/>
      <c r="D344" s="64"/>
      <c r="E344" s="65"/>
      <c r="F344" s="66"/>
      <c r="G344" s="66"/>
      <c r="H344" s="66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.75" hidden="1" customHeight="1">
      <c r="A345" s="1"/>
      <c r="B345" s="64"/>
      <c r="C345" s="64"/>
      <c r="D345" s="64"/>
      <c r="E345" s="65"/>
      <c r="F345" s="66"/>
      <c r="G345" s="66"/>
      <c r="H345" s="66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.75" hidden="1" customHeight="1">
      <c r="A346" s="1"/>
      <c r="B346" s="64"/>
      <c r="C346" s="64"/>
      <c r="D346" s="64"/>
      <c r="E346" s="65"/>
      <c r="F346" s="66"/>
      <c r="G346" s="66"/>
      <c r="H346" s="66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.75" hidden="1" customHeight="1">
      <c r="A347" s="1"/>
      <c r="B347" s="64"/>
      <c r="C347" s="64"/>
      <c r="D347" s="64"/>
      <c r="E347" s="65"/>
      <c r="F347" s="66"/>
      <c r="G347" s="66"/>
      <c r="H347" s="66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.75" hidden="1" customHeight="1">
      <c r="A348" s="1"/>
      <c r="B348" s="64"/>
      <c r="C348" s="64"/>
      <c r="D348" s="64"/>
      <c r="E348" s="65"/>
      <c r="F348" s="66"/>
      <c r="G348" s="66"/>
      <c r="H348" s="66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.75" hidden="1" customHeight="1">
      <c r="A349" s="1"/>
      <c r="B349" s="64"/>
      <c r="C349" s="64"/>
      <c r="D349" s="64"/>
      <c r="E349" s="65"/>
      <c r="F349" s="66"/>
      <c r="G349" s="66"/>
      <c r="H349" s="66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.75" hidden="1" customHeight="1">
      <c r="A350" s="1"/>
      <c r="B350" s="64"/>
      <c r="C350" s="64"/>
      <c r="D350" s="64"/>
      <c r="E350" s="65"/>
      <c r="F350" s="66"/>
      <c r="G350" s="66"/>
      <c r="H350" s="66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.75" hidden="1" customHeight="1">
      <c r="A351" s="1"/>
      <c r="B351" s="64"/>
      <c r="C351" s="64"/>
      <c r="D351" s="64"/>
      <c r="E351" s="65"/>
      <c r="F351" s="66"/>
      <c r="G351" s="66"/>
      <c r="H351" s="66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.75" hidden="1" customHeight="1">
      <c r="A352" s="1"/>
      <c r="B352" s="64"/>
      <c r="C352" s="64"/>
      <c r="D352" s="64"/>
      <c r="E352" s="65"/>
      <c r="F352" s="66"/>
      <c r="G352" s="66"/>
      <c r="H352" s="66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.75" hidden="1" customHeight="1">
      <c r="A353" s="1"/>
      <c r="B353" s="64"/>
      <c r="C353" s="64"/>
      <c r="D353" s="64"/>
      <c r="E353" s="65"/>
      <c r="F353" s="66"/>
      <c r="G353" s="66"/>
      <c r="H353" s="66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.75" hidden="1" customHeight="1">
      <c r="A354" s="1"/>
      <c r="B354" s="64"/>
      <c r="C354" s="64"/>
      <c r="D354" s="64"/>
      <c r="E354" s="65"/>
      <c r="F354" s="66"/>
      <c r="G354" s="66"/>
      <c r="H354" s="66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.75" hidden="1" customHeight="1">
      <c r="A355" s="1"/>
      <c r="B355" s="64"/>
      <c r="C355" s="64"/>
      <c r="D355" s="64"/>
      <c r="E355" s="65"/>
      <c r="F355" s="66"/>
      <c r="G355" s="66"/>
      <c r="H355" s="66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.75" hidden="1" customHeight="1">
      <c r="A356" s="1"/>
      <c r="B356" s="64"/>
      <c r="C356" s="64"/>
      <c r="D356" s="64"/>
      <c r="E356" s="65"/>
      <c r="F356" s="66"/>
      <c r="G356" s="66"/>
      <c r="H356" s="66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.75" hidden="1" customHeight="1">
      <c r="A357" s="1"/>
      <c r="B357" s="64"/>
      <c r="C357" s="64"/>
      <c r="D357" s="64"/>
      <c r="E357" s="65"/>
      <c r="F357" s="66"/>
      <c r="G357" s="66"/>
      <c r="H357" s="66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.75" hidden="1" customHeight="1">
      <c r="A358" s="1"/>
      <c r="B358" s="64"/>
      <c r="C358" s="64"/>
      <c r="D358" s="64"/>
      <c r="E358" s="65"/>
      <c r="F358" s="66"/>
      <c r="G358" s="66"/>
      <c r="H358" s="66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.75" hidden="1" customHeight="1">
      <c r="A359" s="1"/>
      <c r="B359" s="64"/>
      <c r="C359" s="64"/>
      <c r="D359" s="64"/>
      <c r="E359" s="65"/>
      <c r="F359" s="66"/>
      <c r="G359" s="66"/>
      <c r="H359" s="66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.75" hidden="1" customHeight="1">
      <c r="A360" s="1"/>
      <c r="B360" s="64"/>
      <c r="C360" s="64"/>
      <c r="D360" s="64"/>
      <c r="E360" s="65"/>
      <c r="F360" s="66"/>
      <c r="G360" s="66"/>
      <c r="H360" s="66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.75" hidden="1" customHeight="1">
      <c r="A361" s="1"/>
      <c r="B361" s="64"/>
      <c r="C361" s="64"/>
      <c r="D361" s="64"/>
      <c r="E361" s="65"/>
      <c r="F361" s="66"/>
      <c r="G361" s="66"/>
      <c r="H361" s="66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.75" hidden="1" customHeight="1">
      <c r="A362" s="1"/>
      <c r="B362" s="64"/>
      <c r="C362" s="64"/>
      <c r="D362" s="64"/>
      <c r="E362" s="65"/>
      <c r="F362" s="66"/>
      <c r="G362" s="66"/>
      <c r="H362" s="66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.75" hidden="1" customHeight="1">
      <c r="A363" s="1"/>
      <c r="B363" s="64"/>
      <c r="C363" s="64"/>
      <c r="D363" s="64"/>
      <c r="E363" s="65"/>
      <c r="F363" s="66"/>
      <c r="G363" s="66"/>
      <c r="H363" s="66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.75" hidden="1" customHeight="1">
      <c r="A364" s="1"/>
      <c r="B364" s="64"/>
      <c r="C364" s="64"/>
      <c r="D364" s="64"/>
      <c r="E364" s="65"/>
      <c r="F364" s="66"/>
      <c r="G364" s="66"/>
      <c r="H364" s="66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.75" hidden="1" customHeight="1">
      <c r="A365" s="1"/>
      <c r="B365" s="64"/>
      <c r="C365" s="64"/>
      <c r="D365" s="64"/>
      <c r="E365" s="65"/>
      <c r="F365" s="66"/>
      <c r="G365" s="66"/>
      <c r="H365" s="66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.75" hidden="1" customHeight="1">
      <c r="A366" s="1"/>
      <c r="B366" s="64"/>
      <c r="C366" s="64"/>
      <c r="D366" s="64"/>
      <c r="E366" s="65"/>
      <c r="F366" s="66"/>
      <c r="G366" s="66"/>
      <c r="H366" s="66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.75" hidden="1" customHeight="1">
      <c r="A367" s="1"/>
      <c r="B367" s="64"/>
      <c r="C367" s="64"/>
      <c r="D367" s="64"/>
      <c r="E367" s="65"/>
      <c r="F367" s="66"/>
      <c r="G367" s="66"/>
      <c r="H367" s="66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.75" hidden="1" customHeight="1">
      <c r="A368" s="1"/>
      <c r="B368" s="64"/>
      <c r="C368" s="64"/>
      <c r="D368" s="64"/>
      <c r="E368" s="65"/>
      <c r="F368" s="66"/>
      <c r="G368" s="66"/>
      <c r="H368" s="66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.75" hidden="1" customHeight="1">
      <c r="A369" s="1"/>
      <c r="B369" s="64"/>
      <c r="C369" s="64"/>
      <c r="D369" s="64"/>
      <c r="E369" s="65"/>
      <c r="F369" s="66"/>
      <c r="G369" s="66"/>
      <c r="H369" s="66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.75" hidden="1" customHeight="1">
      <c r="A370" s="1"/>
      <c r="B370" s="64"/>
      <c r="C370" s="64"/>
      <c r="D370" s="64"/>
      <c r="E370" s="65"/>
      <c r="F370" s="66"/>
      <c r="G370" s="66"/>
      <c r="H370" s="66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.75" hidden="1" customHeight="1">
      <c r="A371" s="1"/>
      <c r="B371" s="64"/>
      <c r="C371" s="64"/>
      <c r="D371" s="64"/>
      <c r="E371" s="65"/>
      <c r="F371" s="66"/>
      <c r="G371" s="66"/>
      <c r="H371" s="66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.75" hidden="1" customHeight="1">
      <c r="A372" s="1"/>
      <c r="B372" s="64"/>
      <c r="C372" s="64"/>
      <c r="D372" s="64"/>
      <c r="E372" s="65"/>
      <c r="F372" s="66"/>
      <c r="G372" s="66"/>
      <c r="H372" s="66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.75" hidden="1" customHeight="1">
      <c r="A373" s="1"/>
      <c r="B373" s="64"/>
      <c r="C373" s="64"/>
      <c r="D373" s="64"/>
      <c r="E373" s="65"/>
      <c r="F373" s="66"/>
      <c r="G373" s="66"/>
      <c r="H373" s="66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.75" hidden="1" customHeight="1">
      <c r="A374" s="1"/>
      <c r="B374" s="64"/>
      <c r="C374" s="64"/>
      <c r="D374" s="64"/>
      <c r="E374" s="65"/>
      <c r="F374" s="66"/>
      <c r="G374" s="66"/>
      <c r="H374" s="66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.75" hidden="1" customHeight="1">
      <c r="A375" s="1"/>
      <c r="B375" s="64"/>
      <c r="C375" s="64"/>
      <c r="D375" s="64"/>
      <c r="E375" s="65"/>
      <c r="F375" s="66"/>
      <c r="G375" s="66"/>
      <c r="H375" s="66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.75" hidden="1" customHeight="1">
      <c r="A376" s="1"/>
      <c r="B376" s="64"/>
      <c r="C376" s="64"/>
      <c r="D376" s="64"/>
      <c r="E376" s="65"/>
      <c r="F376" s="66"/>
      <c r="G376" s="66"/>
      <c r="H376" s="66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.75" hidden="1" customHeight="1">
      <c r="A377" s="1"/>
      <c r="B377" s="64"/>
      <c r="C377" s="64"/>
      <c r="D377" s="64"/>
      <c r="E377" s="65"/>
      <c r="F377" s="66"/>
      <c r="G377" s="66"/>
      <c r="H377" s="66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.75" hidden="1" customHeight="1">
      <c r="A378" s="1"/>
      <c r="B378" s="64"/>
      <c r="C378" s="64"/>
      <c r="D378" s="64"/>
      <c r="E378" s="65"/>
      <c r="F378" s="66"/>
      <c r="G378" s="66"/>
      <c r="H378" s="66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.75" hidden="1" customHeight="1">
      <c r="A379" s="1"/>
      <c r="B379" s="64"/>
      <c r="C379" s="64"/>
      <c r="D379" s="64"/>
      <c r="E379" s="65"/>
      <c r="F379" s="66"/>
      <c r="G379" s="66"/>
      <c r="H379" s="66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.75" hidden="1" customHeight="1">
      <c r="A380" s="1"/>
      <c r="B380" s="64"/>
      <c r="C380" s="64"/>
      <c r="D380" s="64"/>
      <c r="E380" s="65"/>
      <c r="F380" s="66"/>
      <c r="G380" s="66"/>
      <c r="H380" s="66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.75" hidden="1" customHeight="1">
      <c r="A381" s="1"/>
      <c r="B381" s="64"/>
      <c r="C381" s="64"/>
      <c r="D381" s="64"/>
      <c r="E381" s="65"/>
      <c r="F381" s="66"/>
      <c r="G381" s="66"/>
      <c r="H381" s="66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.75" hidden="1" customHeight="1">
      <c r="A382" s="1"/>
      <c r="B382" s="64"/>
      <c r="C382" s="64"/>
      <c r="D382" s="64"/>
      <c r="E382" s="65"/>
      <c r="F382" s="66"/>
      <c r="G382" s="66"/>
      <c r="H382" s="66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.75" hidden="1" customHeight="1">
      <c r="A383" s="1"/>
      <c r="B383" s="64"/>
      <c r="C383" s="64"/>
      <c r="D383" s="64"/>
      <c r="E383" s="65"/>
      <c r="F383" s="66"/>
      <c r="G383" s="66"/>
      <c r="H383" s="66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.75" hidden="1" customHeight="1">
      <c r="A384" s="1"/>
      <c r="B384" s="64"/>
      <c r="C384" s="64"/>
      <c r="D384" s="64"/>
      <c r="E384" s="65"/>
      <c r="F384" s="66"/>
      <c r="G384" s="66"/>
      <c r="H384" s="66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.75" hidden="1" customHeight="1">
      <c r="A385" s="1"/>
      <c r="B385" s="64"/>
      <c r="C385" s="64"/>
      <c r="D385" s="64"/>
      <c r="E385" s="65"/>
      <c r="F385" s="66"/>
      <c r="G385" s="66"/>
      <c r="H385" s="66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5.75" hidden="1" customHeight="1">
      <c r="A386" s="1"/>
      <c r="B386" s="64"/>
      <c r="C386" s="64"/>
      <c r="D386" s="64"/>
      <c r="E386" s="65"/>
      <c r="F386" s="66"/>
      <c r="G386" s="66"/>
      <c r="H386" s="66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.75" hidden="1" customHeight="1">
      <c r="A387" s="1"/>
      <c r="B387" s="64"/>
      <c r="C387" s="64"/>
      <c r="D387" s="64"/>
      <c r="E387" s="65"/>
      <c r="F387" s="66"/>
      <c r="G387" s="66"/>
      <c r="H387" s="66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.75" hidden="1" customHeight="1">
      <c r="A388" s="1"/>
      <c r="B388" s="64"/>
      <c r="C388" s="64"/>
      <c r="D388" s="64"/>
      <c r="E388" s="65"/>
      <c r="F388" s="66"/>
      <c r="G388" s="66"/>
      <c r="H388" s="66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.75" hidden="1" customHeight="1">
      <c r="A389" s="1"/>
      <c r="B389" s="64"/>
      <c r="C389" s="64"/>
      <c r="D389" s="64"/>
      <c r="E389" s="65"/>
      <c r="F389" s="66"/>
      <c r="G389" s="66"/>
      <c r="H389" s="66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.75" hidden="1" customHeight="1">
      <c r="A390" s="1"/>
      <c r="B390" s="64"/>
      <c r="C390" s="64"/>
      <c r="D390" s="64"/>
      <c r="E390" s="65"/>
      <c r="F390" s="66"/>
      <c r="G390" s="66"/>
      <c r="H390" s="66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.75" hidden="1" customHeight="1">
      <c r="A391" s="1"/>
      <c r="B391" s="64"/>
      <c r="C391" s="64"/>
      <c r="D391" s="64"/>
      <c r="E391" s="65"/>
      <c r="F391" s="66"/>
      <c r="G391" s="66"/>
      <c r="H391" s="66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5" hidden="1" customHeight="1"/>
    <row r="393" spans="1:28" ht="15" hidden="1" customHeight="1"/>
    <row r="394" spans="1:28" ht="15" hidden="1" customHeight="1"/>
    <row r="395" spans="1:28" ht="15" hidden="1" customHeight="1"/>
    <row r="396" spans="1:28" ht="15" hidden="1" customHeight="1"/>
    <row r="397" spans="1:28" ht="15" hidden="1" customHeight="1"/>
    <row r="398" spans="1:28" ht="15" hidden="1" customHeight="1"/>
    <row r="399" spans="1:28" ht="15" hidden="1" customHeight="1"/>
    <row r="400" spans="1:28" ht="15" hidden="1" customHeight="1"/>
    <row r="401" ht="15" hidden="1" customHeight="1"/>
    <row r="402" ht="15" hidden="1" customHeight="1"/>
    <row r="403" ht="15" hidden="1" customHeight="1"/>
    <row r="404" ht="15" hidden="1" customHeight="1"/>
    <row r="405" ht="15" hidden="1" customHeight="1"/>
    <row r="406" ht="15" hidden="1" customHeight="1"/>
    <row r="407" ht="15" hidden="1" customHeight="1"/>
    <row r="408" ht="15" hidden="1" customHeight="1"/>
    <row r="409" ht="15" hidden="1" customHeight="1"/>
    <row r="410" ht="15" hidden="1" customHeight="1"/>
    <row r="411" ht="15" hidden="1" customHeight="1"/>
    <row r="412" ht="15" hidden="1" customHeight="1"/>
    <row r="413" ht="15" hidden="1" customHeight="1"/>
    <row r="414" ht="15" hidden="1" customHeight="1"/>
    <row r="415" ht="15" hidden="1" customHeight="1"/>
    <row r="416" ht="15" hidden="1" customHeight="1"/>
    <row r="417" ht="15" hidden="1" customHeight="1"/>
    <row r="418" ht="15" hidden="1" customHeight="1"/>
    <row r="419" ht="15" hidden="1" customHeight="1"/>
    <row r="420" ht="15" hidden="1" customHeight="1"/>
    <row r="421" ht="15" hidden="1" customHeight="1"/>
    <row r="422" ht="15" hidden="1" customHeight="1"/>
    <row r="423" ht="15" hidden="1" customHeight="1"/>
    <row r="424" ht="15" hidden="1" customHeight="1"/>
    <row r="425" ht="15" hidden="1" customHeight="1"/>
    <row r="426" ht="15" hidden="1" customHeight="1"/>
    <row r="427" ht="15" hidden="1" customHeight="1"/>
    <row r="428" ht="15" hidden="1" customHeight="1"/>
    <row r="429" ht="15" hidden="1" customHeight="1"/>
    <row r="430" ht="15" hidden="1" customHeight="1"/>
    <row r="431" ht="15" hidden="1" customHeight="1"/>
    <row r="432" ht="15" hidden="1" customHeight="1"/>
    <row r="433" ht="15" hidden="1" customHeight="1"/>
    <row r="434" ht="15" hidden="1" customHeight="1"/>
    <row r="435" ht="15" hidden="1" customHeight="1"/>
    <row r="436" ht="15" hidden="1" customHeight="1"/>
    <row r="437" ht="15" hidden="1" customHeight="1"/>
    <row r="438" ht="15" hidden="1" customHeight="1"/>
    <row r="439" ht="15" hidden="1" customHeight="1"/>
    <row r="440" ht="15" hidden="1" customHeight="1"/>
    <row r="441" ht="15" hidden="1" customHeight="1"/>
    <row r="442" ht="15" hidden="1" customHeight="1"/>
    <row r="443" ht="15" hidden="1" customHeight="1"/>
    <row r="444" ht="15" hidden="1" customHeight="1"/>
    <row r="445" ht="15" hidden="1" customHeight="1"/>
    <row r="446" ht="15" hidden="1" customHeight="1"/>
    <row r="447" ht="15" hidden="1" customHeight="1"/>
    <row r="448" ht="15" hidden="1" customHeight="1"/>
    <row r="449" ht="15" hidden="1" customHeight="1"/>
    <row r="450" ht="15" hidden="1" customHeight="1"/>
    <row r="451" ht="15" hidden="1" customHeight="1"/>
    <row r="452" ht="15" hidden="1" customHeight="1"/>
    <row r="453" ht="15" hidden="1" customHeight="1"/>
    <row r="454" ht="15" hidden="1" customHeight="1"/>
    <row r="455" ht="15" hidden="1" customHeight="1"/>
    <row r="456" ht="15" hidden="1" customHeight="1"/>
    <row r="457" ht="15" hidden="1" customHeight="1"/>
    <row r="458" ht="15" hidden="1" customHeight="1"/>
    <row r="459" ht="15" hidden="1" customHeight="1"/>
    <row r="460" ht="15" hidden="1" customHeight="1"/>
    <row r="461" ht="15" hidden="1" customHeight="1"/>
    <row r="462" ht="15" hidden="1" customHeight="1"/>
    <row r="463" ht="15" hidden="1" customHeight="1"/>
    <row r="464" ht="15" hidden="1" customHeight="1"/>
    <row r="465" ht="15" hidden="1" customHeight="1"/>
    <row r="466" ht="15" hidden="1" customHeight="1"/>
    <row r="467" ht="15" hidden="1" customHeight="1"/>
    <row r="468" ht="15" hidden="1" customHeight="1"/>
    <row r="469" ht="15" hidden="1" customHeight="1"/>
    <row r="470" ht="15" hidden="1" customHeight="1"/>
    <row r="471" ht="15" hidden="1" customHeight="1"/>
    <row r="472" ht="15" hidden="1" customHeight="1"/>
    <row r="473" ht="15" hidden="1" customHeight="1"/>
    <row r="474" ht="15" hidden="1" customHeight="1"/>
    <row r="475" ht="15" hidden="1" customHeight="1"/>
    <row r="476" ht="15" hidden="1" customHeight="1"/>
    <row r="477" ht="15" hidden="1" customHeight="1"/>
    <row r="478" ht="15" hidden="1" customHeight="1"/>
    <row r="479" ht="15" hidden="1" customHeight="1"/>
    <row r="480" ht="15" hidden="1" customHeight="1"/>
    <row r="481" ht="15" hidden="1" customHeight="1"/>
    <row r="482" ht="15" hidden="1" customHeight="1"/>
    <row r="483" ht="15" hidden="1" customHeight="1"/>
    <row r="484" ht="15" hidden="1" customHeight="1"/>
    <row r="485" ht="15" hidden="1" customHeight="1"/>
    <row r="486" ht="15" hidden="1" customHeight="1"/>
    <row r="487" ht="15" hidden="1" customHeight="1"/>
    <row r="488" ht="15" hidden="1" customHeight="1"/>
    <row r="489" ht="15" hidden="1" customHeight="1"/>
    <row r="490" ht="15" hidden="1" customHeight="1"/>
    <row r="491" ht="15" hidden="1" customHeight="1"/>
    <row r="492" ht="15" hidden="1" customHeight="1"/>
    <row r="493" ht="15" hidden="1" customHeight="1"/>
    <row r="494" ht="15" hidden="1" customHeight="1"/>
    <row r="495" ht="15" hidden="1" customHeight="1"/>
    <row r="496" ht="15" hidden="1" customHeight="1"/>
    <row r="497" ht="15" hidden="1" customHeight="1"/>
    <row r="498" ht="15" hidden="1" customHeight="1"/>
    <row r="499" ht="15" hidden="1" customHeight="1"/>
    <row r="500" ht="15" hidden="1" customHeight="1"/>
    <row r="501" ht="15" hidden="1" customHeight="1"/>
    <row r="502" ht="15" hidden="1" customHeight="1"/>
    <row r="503" ht="15" hidden="1" customHeight="1"/>
    <row r="504" ht="15" hidden="1" customHeight="1"/>
    <row r="505" ht="15" hidden="1" customHeight="1"/>
    <row r="506" ht="15" hidden="1" customHeight="1"/>
    <row r="507" ht="15" hidden="1" customHeight="1"/>
    <row r="508" ht="15" hidden="1" customHeight="1"/>
    <row r="509" ht="15" hidden="1" customHeight="1"/>
    <row r="510" ht="15" hidden="1" customHeight="1"/>
    <row r="511" ht="15" hidden="1" customHeight="1"/>
    <row r="512" ht="15" hidden="1" customHeight="1"/>
    <row r="513" ht="15" hidden="1" customHeight="1"/>
    <row r="514" ht="15" hidden="1" customHeight="1"/>
    <row r="515" ht="15" hidden="1" customHeight="1"/>
    <row r="516" ht="15" hidden="1" customHeight="1"/>
    <row r="517" ht="15" hidden="1" customHeight="1"/>
    <row r="518" ht="15" hidden="1" customHeight="1"/>
    <row r="519" ht="15" hidden="1" customHeight="1"/>
    <row r="520" ht="15" hidden="1" customHeight="1"/>
    <row r="521" ht="15" hidden="1" customHeight="1"/>
    <row r="522" ht="15" hidden="1" customHeight="1"/>
    <row r="523" ht="15" hidden="1" customHeight="1"/>
    <row r="524" ht="15" hidden="1" customHeight="1"/>
    <row r="525" ht="15" hidden="1" customHeight="1"/>
    <row r="526" ht="15" hidden="1" customHeight="1"/>
    <row r="527" ht="15" hidden="1" customHeight="1"/>
    <row r="528" ht="15" hidden="1" customHeight="1"/>
    <row r="529" ht="15" hidden="1" customHeight="1"/>
    <row r="530" ht="15" hidden="1" customHeight="1"/>
    <row r="531" ht="15" hidden="1" customHeight="1"/>
    <row r="532" ht="15" hidden="1" customHeight="1"/>
    <row r="533" ht="15" hidden="1" customHeight="1"/>
    <row r="534" ht="15" hidden="1" customHeight="1"/>
    <row r="535" ht="15" hidden="1" customHeight="1"/>
    <row r="536" ht="15" hidden="1" customHeight="1"/>
    <row r="537" ht="15" hidden="1" customHeight="1"/>
    <row r="538" ht="15" hidden="1" customHeight="1"/>
    <row r="539" ht="15" hidden="1" customHeight="1"/>
    <row r="540" ht="15" hidden="1" customHeight="1"/>
    <row r="541" ht="15" hidden="1" customHeight="1"/>
    <row r="542" ht="15" hidden="1" customHeight="1"/>
    <row r="543" ht="15" hidden="1" customHeight="1"/>
    <row r="544" ht="15" hidden="1" customHeight="1"/>
    <row r="545" ht="15" hidden="1" customHeight="1"/>
    <row r="546" ht="15" hidden="1" customHeight="1"/>
    <row r="547" ht="15" hidden="1" customHeight="1"/>
    <row r="548" ht="15" hidden="1" customHeight="1"/>
    <row r="549" ht="15" hidden="1" customHeight="1"/>
    <row r="550" ht="15" hidden="1" customHeight="1"/>
    <row r="551" ht="15" hidden="1" customHeight="1"/>
    <row r="552" ht="15" hidden="1" customHeight="1"/>
    <row r="553" ht="15" hidden="1" customHeight="1"/>
    <row r="554" ht="15" hidden="1" customHeight="1"/>
    <row r="555" ht="15" hidden="1" customHeight="1"/>
    <row r="556" ht="15" hidden="1" customHeight="1"/>
    <row r="557" ht="15" hidden="1" customHeight="1"/>
    <row r="558" ht="15" hidden="1" customHeight="1"/>
    <row r="559" ht="15" hidden="1" customHeight="1"/>
    <row r="560" ht="15" hidden="1" customHeight="1"/>
    <row r="561" ht="15" hidden="1" customHeight="1"/>
    <row r="562" ht="15" hidden="1" customHeight="1"/>
    <row r="563" ht="15" hidden="1" customHeight="1"/>
    <row r="564" ht="15" hidden="1" customHeight="1"/>
    <row r="565" ht="15" hidden="1" customHeight="1"/>
    <row r="566" ht="15" hidden="1" customHeight="1"/>
    <row r="567" ht="15" hidden="1" customHeight="1"/>
    <row r="568" ht="15" hidden="1" customHeight="1"/>
    <row r="569" ht="15" hidden="1" customHeight="1"/>
    <row r="570" ht="15" hidden="1" customHeight="1"/>
    <row r="571" ht="15" hidden="1" customHeight="1"/>
    <row r="572" ht="15" hidden="1" customHeight="1"/>
    <row r="573" ht="15" hidden="1" customHeight="1"/>
    <row r="574" ht="15" hidden="1" customHeight="1"/>
    <row r="575" ht="15" hidden="1" customHeight="1"/>
    <row r="576" ht="15" hidden="1" customHeight="1"/>
    <row r="577" ht="15" hidden="1" customHeight="1"/>
    <row r="578" ht="15" hidden="1" customHeight="1"/>
    <row r="579" ht="15" hidden="1" customHeight="1"/>
    <row r="580" ht="15" hidden="1" customHeight="1"/>
    <row r="581" ht="15" hidden="1" customHeight="1"/>
    <row r="582" ht="15" hidden="1" customHeight="1"/>
    <row r="583" ht="15" hidden="1" customHeight="1"/>
    <row r="584" ht="15" hidden="1" customHeight="1"/>
    <row r="585" ht="15" hidden="1" customHeight="1"/>
    <row r="586" ht="15" hidden="1" customHeight="1"/>
    <row r="587" ht="15" hidden="1" customHeight="1"/>
    <row r="588" ht="15" hidden="1" customHeight="1"/>
    <row r="589" ht="15" hidden="1" customHeight="1"/>
    <row r="590" ht="15" hidden="1" customHeight="1"/>
    <row r="591" ht="15" hidden="1" customHeight="1"/>
    <row r="592" ht="15" hidden="1" customHeight="1"/>
    <row r="593" ht="15" hidden="1" customHeight="1"/>
    <row r="594" ht="15" hidden="1" customHeight="1"/>
    <row r="595" ht="15" hidden="1" customHeight="1"/>
    <row r="596" ht="15" hidden="1" customHeight="1"/>
    <row r="597" ht="15" hidden="1" customHeight="1"/>
    <row r="598" ht="15" hidden="1" customHeight="1"/>
    <row r="599" ht="15" hidden="1" customHeight="1"/>
    <row r="600" ht="15" hidden="1" customHeight="1"/>
    <row r="601" ht="15" hidden="1" customHeight="1"/>
    <row r="602" ht="15" hidden="1" customHeight="1"/>
    <row r="603" ht="15" hidden="1" customHeight="1"/>
    <row r="604" ht="15" hidden="1" customHeight="1"/>
    <row r="605" ht="15" hidden="1" customHeight="1"/>
    <row r="606" ht="15" hidden="1" customHeight="1"/>
    <row r="607" ht="15" hidden="1" customHeight="1"/>
    <row r="608" ht="15" hidden="1" customHeight="1"/>
    <row r="609" ht="15" hidden="1" customHeight="1"/>
    <row r="610" ht="15" hidden="1" customHeight="1"/>
    <row r="611" ht="15" hidden="1" customHeight="1"/>
    <row r="612" ht="15" hidden="1" customHeight="1"/>
    <row r="613" ht="15" hidden="1" customHeight="1"/>
    <row r="614" ht="15" hidden="1" customHeight="1"/>
    <row r="615" ht="15" hidden="1" customHeight="1"/>
    <row r="616" ht="15" hidden="1" customHeight="1"/>
    <row r="617" ht="15" hidden="1" customHeight="1"/>
    <row r="618" ht="15" hidden="1" customHeight="1"/>
    <row r="619" ht="15" hidden="1" customHeight="1"/>
    <row r="620" ht="15" hidden="1" customHeight="1"/>
    <row r="621" ht="15" hidden="1" customHeight="1"/>
    <row r="622" ht="15" hidden="1" customHeight="1"/>
    <row r="623" ht="15" hidden="1" customHeight="1"/>
    <row r="624" ht="15" hidden="1" customHeight="1"/>
    <row r="625" ht="15" hidden="1" customHeight="1"/>
    <row r="626" ht="15" hidden="1" customHeight="1"/>
    <row r="627" ht="15" hidden="1" customHeight="1"/>
    <row r="628" ht="15" hidden="1" customHeight="1"/>
    <row r="629" ht="15" hidden="1" customHeight="1"/>
    <row r="630" ht="15" hidden="1" customHeight="1"/>
    <row r="631" ht="15" hidden="1" customHeight="1"/>
    <row r="632" ht="15" hidden="1" customHeight="1"/>
    <row r="633" ht="15" hidden="1" customHeight="1"/>
    <row r="634" ht="15" hidden="1" customHeight="1"/>
    <row r="635" ht="15" hidden="1" customHeight="1"/>
    <row r="636" ht="15" hidden="1" customHeight="1"/>
    <row r="637" ht="15" hidden="1" customHeight="1"/>
    <row r="638" ht="15" hidden="1" customHeight="1"/>
  </sheetData>
  <mergeCells count="5">
    <mergeCell ref="A1:H1"/>
    <mergeCell ref="B3:E6"/>
    <mergeCell ref="E199:F199"/>
    <mergeCell ref="G199:H199"/>
    <mergeCell ref="B204:H204"/>
  </mergeCells>
  <dataValidations count="1">
    <dataValidation type="list" allowBlank="1" showInputMessage="1" showErrorMessage="1" prompt=" - " sqref="H2" xr:uid="{00000000-0002-0000-0000-000000000000}">
      <formula1>"1ª Proposta,2ª Proposta,3ª Proposta,4ª Proposta,5ª Proposta,6ª Proposta,Proposta Finalizada"</formula1>
    </dataValidation>
  </dataValidations>
  <pageMargins left="0.7" right="0.7" top="0.75" bottom="0.75" header="0" footer="0"/>
  <pageSetup paperSize="9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FF"/>
  </sheetPr>
  <dimension ref="A1:T144"/>
  <sheetViews>
    <sheetView workbookViewId="0">
      <pane ySplit="2" topLeftCell="A3" activePane="bottomLeft" state="frozen"/>
      <selection pane="bottomLeft" activeCell="A11" sqref="A11"/>
    </sheetView>
  </sheetViews>
  <sheetFormatPr defaultColWidth="14.44140625" defaultRowHeight="15" customHeight="1" outlineLevelCol="1"/>
  <cols>
    <col min="1" max="1" width="13.88671875" customWidth="1"/>
    <col min="2" max="2" width="48.33203125" customWidth="1"/>
    <col min="3" max="3" width="17" customWidth="1"/>
    <col min="4" max="4" width="5.5546875" customWidth="1"/>
    <col min="5" max="5" width="11.33203125" customWidth="1"/>
    <col min="6" max="6" width="11.88671875" customWidth="1"/>
    <col min="7" max="7" width="6.33203125" customWidth="1"/>
    <col min="8" max="8" width="11.5546875" customWidth="1"/>
    <col min="9" max="9" width="5.5546875" customWidth="1"/>
    <col min="10" max="10" width="12.88671875" customWidth="1"/>
    <col min="11" max="11" width="12.5546875" customWidth="1"/>
    <col min="12" max="12" width="12" customWidth="1"/>
    <col min="13" max="13" width="4" customWidth="1"/>
    <col min="14" max="14" width="11.5546875" customWidth="1"/>
    <col min="17" max="20" width="14.44140625" outlineLevel="1"/>
  </cols>
  <sheetData>
    <row r="1" spans="1:15" ht="15" customHeight="1">
      <c r="D1" s="184" t="s">
        <v>23</v>
      </c>
      <c r="E1" s="185"/>
      <c r="F1" s="186"/>
      <c r="G1" s="67" t="s">
        <v>24</v>
      </c>
      <c r="H1" s="68" t="s">
        <v>23</v>
      </c>
      <c r="I1" s="184" t="s">
        <v>25</v>
      </c>
      <c r="J1" s="185"/>
      <c r="K1" s="187"/>
    </row>
    <row r="2" spans="1:15" ht="19.5" customHeight="1">
      <c r="A2" s="69" t="s">
        <v>26</v>
      </c>
      <c r="B2" s="69" t="s">
        <v>27</v>
      </c>
      <c r="C2" s="70" t="s">
        <v>28</v>
      </c>
      <c r="D2" s="71" t="s">
        <v>29</v>
      </c>
      <c r="E2" s="72" t="s">
        <v>30</v>
      </c>
      <c r="F2" s="69" t="s">
        <v>31</v>
      </c>
      <c r="G2" s="73">
        <v>0.1633</v>
      </c>
      <c r="H2" s="74" t="s">
        <v>32</v>
      </c>
      <c r="I2" s="67" t="s">
        <v>29</v>
      </c>
      <c r="J2" s="75" t="s">
        <v>33</v>
      </c>
      <c r="K2" s="74" t="s">
        <v>34</v>
      </c>
      <c r="L2" s="69" t="s">
        <v>35</v>
      </c>
      <c r="M2" s="76">
        <v>0.7</v>
      </c>
      <c r="N2" s="72" t="s">
        <v>36</v>
      </c>
    </row>
    <row r="3" spans="1:15" ht="19.5" hidden="1" customHeight="1">
      <c r="A3" s="77" t="s">
        <v>37</v>
      </c>
      <c r="B3" s="78" t="s">
        <v>38</v>
      </c>
      <c r="C3" s="79" t="s">
        <v>39</v>
      </c>
      <c r="D3" s="80">
        <v>0</v>
      </c>
      <c r="E3" s="81">
        <v>40</v>
      </c>
      <c r="F3" s="82">
        <f t="shared" ref="F3:F121" si="0">D3*E3</f>
        <v>0</v>
      </c>
      <c r="G3" s="83">
        <f t="shared" ref="G3:G121" si="1">G2</f>
        <v>0.1633</v>
      </c>
      <c r="H3" s="82">
        <f t="shared" ref="H3:H121" si="2">(F3*G3)+F3</f>
        <v>0</v>
      </c>
      <c r="I3" s="80">
        <v>0</v>
      </c>
      <c r="J3" s="82">
        <v>3</v>
      </c>
      <c r="K3" s="82">
        <f t="shared" ref="K3:K96" si="3">I3*J3</f>
        <v>0</v>
      </c>
      <c r="L3" s="82">
        <f t="shared" ref="L3:L121" si="4">N3-K3</f>
        <v>0</v>
      </c>
      <c r="M3" s="84">
        <v>0.1</v>
      </c>
      <c r="N3" s="85">
        <f t="shared" ref="N3:N96" si="5">H3*M3+H3</f>
        <v>0</v>
      </c>
    </row>
    <row r="4" spans="1:15" ht="19.5" customHeight="1">
      <c r="A4" s="86" t="s">
        <v>37</v>
      </c>
      <c r="B4" s="87" t="s">
        <v>40</v>
      </c>
      <c r="C4" s="88" t="s">
        <v>39</v>
      </c>
      <c r="D4" s="89">
        <v>36</v>
      </c>
      <c r="E4" s="90">
        <v>14.5</v>
      </c>
      <c r="F4" s="91">
        <f t="shared" si="0"/>
        <v>522</v>
      </c>
      <c r="G4" s="92">
        <f t="shared" si="1"/>
        <v>0.1633</v>
      </c>
      <c r="H4" s="91">
        <f t="shared" si="2"/>
        <v>607.24260000000004</v>
      </c>
      <c r="I4" s="89">
        <v>1</v>
      </c>
      <c r="J4" s="91">
        <v>500</v>
      </c>
      <c r="K4" s="91">
        <f t="shared" si="3"/>
        <v>500</v>
      </c>
      <c r="L4" s="91">
        <f t="shared" si="4"/>
        <v>532.31241999999997</v>
      </c>
      <c r="M4" s="93">
        <f>M2</f>
        <v>0.7</v>
      </c>
      <c r="N4" s="94">
        <f t="shared" si="5"/>
        <v>1032.31242</v>
      </c>
      <c r="O4" s="95">
        <f>L4*1/N4</f>
        <v>0.5156505043308498</v>
      </c>
    </row>
    <row r="5" spans="1:15" ht="19.5" hidden="1" customHeight="1">
      <c r="A5" s="77" t="s">
        <v>37</v>
      </c>
      <c r="B5" s="78" t="s">
        <v>41</v>
      </c>
      <c r="C5" s="79" t="s">
        <v>42</v>
      </c>
      <c r="D5" s="80">
        <v>0</v>
      </c>
      <c r="E5" s="81">
        <v>3</v>
      </c>
      <c r="F5" s="82">
        <f t="shared" si="0"/>
        <v>0</v>
      </c>
      <c r="G5" s="83">
        <f t="shared" si="1"/>
        <v>0.1633</v>
      </c>
      <c r="H5" s="82">
        <f t="shared" si="2"/>
        <v>0</v>
      </c>
      <c r="I5" s="80">
        <v>0</v>
      </c>
      <c r="J5" s="82">
        <v>0</v>
      </c>
      <c r="K5" s="82">
        <f t="shared" si="3"/>
        <v>0</v>
      </c>
      <c r="L5" s="82">
        <f t="shared" si="4"/>
        <v>0</v>
      </c>
      <c r="M5" s="84">
        <f>M2</f>
        <v>0.7</v>
      </c>
      <c r="N5" s="85">
        <f t="shared" si="5"/>
        <v>0</v>
      </c>
    </row>
    <row r="6" spans="1:15" ht="19.5" hidden="1" customHeight="1">
      <c r="A6" s="96" t="s">
        <v>37</v>
      </c>
      <c r="B6" s="97" t="s">
        <v>43</v>
      </c>
      <c r="C6" s="98" t="s">
        <v>39</v>
      </c>
      <c r="D6" s="99">
        <v>0</v>
      </c>
      <c r="E6" s="100">
        <v>8</v>
      </c>
      <c r="F6" s="101">
        <f t="shared" si="0"/>
        <v>0</v>
      </c>
      <c r="G6" s="102">
        <f t="shared" si="1"/>
        <v>0.1633</v>
      </c>
      <c r="H6" s="101">
        <f t="shared" si="2"/>
        <v>0</v>
      </c>
      <c r="I6" s="99">
        <v>0</v>
      </c>
      <c r="J6" s="101">
        <v>0</v>
      </c>
      <c r="K6" s="101">
        <f t="shared" si="3"/>
        <v>0</v>
      </c>
      <c r="L6" s="103">
        <f t="shared" si="4"/>
        <v>0</v>
      </c>
      <c r="M6" s="104">
        <f t="shared" ref="M6:M106" si="6">M5</f>
        <v>0.7</v>
      </c>
      <c r="N6" s="105">
        <f t="shared" si="5"/>
        <v>0</v>
      </c>
    </row>
    <row r="7" spans="1:15" ht="19.5" hidden="1" customHeight="1">
      <c r="A7" s="77" t="s">
        <v>44</v>
      </c>
      <c r="B7" s="78" t="s">
        <v>45</v>
      </c>
      <c r="C7" s="79" t="s">
        <v>46</v>
      </c>
      <c r="D7" s="80">
        <v>0</v>
      </c>
      <c r="E7" s="81">
        <v>110</v>
      </c>
      <c r="F7" s="82">
        <f t="shared" si="0"/>
        <v>0</v>
      </c>
      <c r="G7" s="83">
        <f t="shared" si="1"/>
        <v>0.1633</v>
      </c>
      <c r="H7" s="82">
        <f t="shared" si="2"/>
        <v>0</v>
      </c>
      <c r="I7" s="80">
        <v>0</v>
      </c>
      <c r="J7" s="82">
        <v>0</v>
      </c>
      <c r="K7" s="82">
        <f t="shared" si="3"/>
        <v>0</v>
      </c>
      <c r="L7" s="82">
        <f t="shared" si="4"/>
        <v>0</v>
      </c>
      <c r="M7" s="84">
        <f t="shared" si="6"/>
        <v>0.7</v>
      </c>
      <c r="N7" s="85">
        <f t="shared" si="5"/>
        <v>0</v>
      </c>
    </row>
    <row r="8" spans="1:15" ht="19.5" hidden="1" customHeight="1">
      <c r="A8" s="96" t="s">
        <v>44</v>
      </c>
      <c r="B8" s="97" t="s">
        <v>47</v>
      </c>
      <c r="C8" s="98" t="s">
        <v>42</v>
      </c>
      <c r="D8" s="99">
        <v>0</v>
      </c>
      <c r="E8" s="100">
        <v>80</v>
      </c>
      <c r="F8" s="101">
        <f t="shared" si="0"/>
        <v>0</v>
      </c>
      <c r="G8" s="102">
        <f t="shared" si="1"/>
        <v>0.1633</v>
      </c>
      <c r="H8" s="101">
        <f t="shared" si="2"/>
        <v>0</v>
      </c>
      <c r="I8" s="99">
        <v>0</v>
      </c>
      <c r="J8" s="101">
        <v>0</v>
      </c>
      <c r="K8" s="101">
        <f t="shared" si="3"/>
        <v>0</v>
      </c>
      <c r="L8" s="103">
        <f t="shared" si="4"/>
        <v>0</v>
      </c>
      <c r="M8" s="104">
        <f t="shared" si="6"/>
        <v>0.7</v>
      </c>
      <c r="N8" s="105">
        <f t="shared" si="5"/>
        <v>0</v>
      </c>
    </row>
    <row r="9" spans="1:15" ht="19.5" hidden="1" customHeight="1">
      <c r="A9" s="77" t="s">
        <v>44</v>
      </c>
      <c r="B9" s="78" t="s">
        <v>48</v>
      </c>
      <c r="C9" s="79" t="s">
        <v>42</v>
      </c>
      <c r="D9" s="80">
        <v>0</v>
      </c>
      <c r="E9" s="81">
        <v>40</v>
      </c>
      <c r="F9" s="82">
        <f t="shared" si="0"/>
        <v>0</v>
      </c>
      <c r="G9" s="83">
        <f t="shared" si="1"/>
        <v>0.1633</v>
      </c>
      <c r="H9" s="82">
        <f t="shared" si="2"/>
        <v>0</v>
      </c>
      <c r="I9" s="80">
        <v>0</v>
      </c>
      <c r="J9" s="82">
        <v>0</v>
      </c>
      <c r="K9" s="82">
        <f t="shared" si="3"/>
        <v>0</v>
      </c>
      <c r="L9" s="82">
        <f t="shared" si="4"/>
        <v>0</v>
      </c>
      <c r="M9" s="84">
        <f t="shared" si="6"/>
        <v>0.7</v>
      </c>
      <c r="N9" s="85">
        <f t="shared" si="5"/>
        <v>0</v>
      </c>
    </row>
    <row r="10" spans="1:15" ht="19.5" hidden="1" customHeight="1">
      <c r="A10" s="96" t="s">
        <v>44</v>
      </c>
      <c r="B10" s="97" t="s">
        <v>49</v>
      </c>
      <c r="C10" s="98" t="s">
        <v>42</v>
      </c>
      <c r="D10" s="99">
        <v>0</v>
      </c>
      <c r="E10" s="100">
        <v>150</v>
      </c>
      <c r="F10" s="101">
        <f t="shared" si="0"/>
        <v>0</v>
      </c>
      <c r="G10" s="102">
        <f t="shared" si="1"/>
        <v>0.1633</v>
      </c>
      <c r="H10" s="101">
        <f t="shared" si="2"/>
        <v>0</v>
      </c>
      <c r="I10" s="99">
        <v>0</v>
      </c>
      <c r="J10" s="101">
        <v>0</v>
      </c>
      <c r="K10" s="101">
        <f t="shared" si="3"/>
        <v>0</v>
      </c>
      <c r="L10" s="103">
        <f t="shared" si="4"/>
        <v>0</v>
      </c>
      <c r="M10" s="104">
        <f t="shared" si="6"/>
        <v>0.7</v>
      </c>
      <c r="N10" s="105">
        <f t="shared" si="5"/>
        <v>0</v>
      </c>
    </row>
    <row r="11" spans="1:15" ht="19.5" customHeight="1">
      <c r="A11" s="77" t="s">
        <v>44</v>
      </c>
      <c r="B11" s="106" t="s">
        <v>50</v>
      </c>
      <c r="C11" s="79" t="s">
        <v>42</v>
      </c>
      <c r="D11" s="80">
        <v>36</v>
      </c>
      <c r="E11" s="81">
        <v>12</v>
      </c>
      <c r="F11" s="82">
        <f t="shared" si="0"/>
        <v>432</v>
      </c>
      <c r="G11" s="83">
        <f t="shared" si="1"/>
        <v>0.1633</v>
      </c>
      <c r="H11" s="82">
        <f t="shared" si="2"/>
        <v>502.54560000000004</v>
      </c>
      <c r="I11" s="80">
        <v>0</v>
      </c>
      <c r="J11" s="82">
        <v>0</v>
      </c>
      <c r="K11" s="82">
        <f t="shared" si="3"/>
        <v>0</v>
      </c>
      <c r="L11" s="82">
        <f t="shared" si="4"/>
        <v>854.32752000000005</v>
      </c>
      <c r="M11" s="84">
        <f t="shared" si="6"/>
        <v>0.7</v>
      </c>
      <c r="N11" s="85">
        <f t="shared" si="5"/>
        <v>854.32752000000005</v>
      </c>
      <c r="O11" s="107">
        <f>L11*1/N11</f>
        <v>1</v>
      </c>
    </row>
    <row r="12" spans="1:15" ht="19.5" hidden="1" customHeight="1">
      <c r="A12" s="96" t="s">
        <v>51</v>
      </c>
      <c r="B12" s="108" t="s">
        <v>52</v>
      </c>
      <c r="C12" s="98" t="s">
        <v>42</v>
      </c>
      <c r="D12" s="99">
        <v>0</v>
      </c>
      <c r="E12" s="100">
        <v>2.5</v>
      </c>
      <c r="F12" s="101">
        <f t="shared" si="0"/>
        <v>0</v>
      </c>
      <c r="G12" s="102">
        <f t="shared" si="1"/>
        <v>0.1633</v>
      </c>
      <c r="H12" s="101">
        <f t="shared" si="2"/>
        <v>0</v>
      </c>
      <c r="I12" s="99">
        <v>0</v>
      </c>
      <c r="J12" s="101">
        <v>0</v>
      </c>
      <c r="K12" s="101">
        <f t="shared" si="3"/>
        <v>0</v>
      </c>
      <c r="L12" s="103">
        <f t="shared" si="4"/>
        <v>0</v>
      </c>
      <c r="M12" s="104">
        <f t="shared" si="6"/>
        <v>0.7</v>
      </c>
      <c r="N12" s="105">
        <f t="shared" si="5"/>
        <v>0</v>
      </c>
    </row>
    <row r="13" spans="1:15" ht="19.5" hidden="1" customHeight="1">
      <c r="A13" s="77" t="s">
        <v>51</v>
      </c>
      <c r="B13" s="106" t="s">
        <v>53</v>
      </c>
      <c r="C13" s="79" t="s">
        <v>39</v>
      </c>
      <c r="D13" s="80">
        <v>0</v>
      </c>
      <c r="E13" s="81">
        <v>25</v>
      </c>
      <c r="F13" s="82">
        <f t="shared" si="0"/>
        <v>0</v>
      </c>
      <c r="G13" s="83">
        <f t="shared" si="1"/>
        <v>0.1633</v>
      </c>
      <c r="H13" s="82">
        <f t="shared" si="2"/>
        <v>0</v>
      </c>
      <c r="I13" s="80">
        <v>0</v>
      </c>
      <c r="J13" s="82">
        <v>0</v>
      </c>
      <c r="K13" s="82">
        <f t="shared" si="3"/>
        <v>0</v>
      </c>
      <c r="L13" s="82">
        <f t="shared" si="4"/>
        <v>0</v>
      </c>
      <c r="M13" s="84">
        <f t="shared" si="6"/>
        <v>0.7</v>
      </c>
      <c r="N13" s="85">
        <f t="shared" si="5"/>
        <v>0</v>
      </c>
    </row>
    <row r="14" spans="1:15" ht="19.5" hidden="1" customHeight="1">
      <c r="A14" s="96" t="s">
        <v>51</v>
      </c>
      <c r="B14" s="108" t="s">
        <v>54</v>
      </c>
      <c r="C14" s="98" t="s">
        <v>39</v>
      </c>
      <c r="D14" s="99">
        <v>0</v>
      </c>
      <c r="E14" s="100">
        <v>45</v>
      </c>
      <c r="F14" s="101">
        <f t="shared" si="0"/>
        <v>0</v>
      </c>
      <c r="G14" s="102">
        <f t="shared" si="1"/>
        <v>0.1633</v>
      </c>
      <c r="H14" s="101">
        <f t="shared" si="2"/>
        <v>0</v>
      </c>
      <c r="I14" s="99">
        <v>0</v>
      </c>
      <c r="J14" s="101">
        <v>0</v>
      </c>
      <c r="K14" s="101">
        <f t="shared" si="3"/>
        <v>0</v>
      </c>
      <c r="L14" s="103">
        <f t="shared" si="4"/>
        <v>0</v>
      </c>
      <c r="M14" s="104">
        <f t="shared" si="6"/>
        <v>0.7</v>
      </c>
      <c r="N14" s="105">
        <f t="shared" si="5"/>
        <v>0</v>
      </c>
    </row>
    <row r="15" spans="1:15" ht="19.5" customHeight="1">
      <c r="A15" s="77" t="s">
        <v>51</v>
      </c>
      <c r="B15" s="106" t="s">
        <v>55</v>
      </c>
      <c r="C15" s="79" t="s">
        <v>42</v>
      </c>
      <c r="D15" s="80">
        <v>36</v>
      </c>
      <c r="E15" s="81">
        <v>15</v>
      </c>
      <c r="F15" s="82">
        <f t="shared" si="0"/>
        <v>540</v>
      </c>
      <c r="G15" s="83">
        <f t="shared" si="1"/>
        <v>0.1633</v>
      </c>
      <c r="H15" s="82">
        <f t="shared" si="2"/>
        <v>628.18200000000002</v>
      </c>
      <c r="I15" s="80">
        <v>0</v>
      </c>
      <c r="J15" s="82">
        <v>0</v>
      </c>
      <c r="K15" s="82">
        <f t="shared" si="3"/>
        <v>0</v>
      </c>
      <c r="L15" s="82">
        <f t="shared" si="4"/>
        <v>1067.9094</v>
      </c>
      <c r="M15" s="84">
        <f t="shared" si="6"/>
        <v>0.7</v>
      </c>
      <c r="N15" s="85">
        <f t="shared" si="5"/>
        <v>1067.9094</v>
      </c>
      <c r="O15" s="107">
        <f>L15*1/N15</f>
        <v>1</v>
      </c>
    </row>
    <row r="16" spans="1:15" ht="19.5" hidden="1" customHeight="1">
      <c r="A16" s="96" t="s">
        <v>51</v>
      </c>
      <c r="B16" s="108" t="s">
        <v>56</v>
      </c>
      <c r="C16" s="98" t="s">
        <v>42</v>
      </c>
      <c r="D16" s="99">
        <v>0</v>
      </c>
      <c r="E16" s="100">
        <v>300</v>
      </c>
      <c r="F16" s="101">
        <f t="shared" si="0"/>
        <v>0</v>
      </c>
      <c r="G16" s="102">
        <f t="shared" si="1"/>
        <v>0.1633</v>
      </c>
      <c r="H16" s="101">
        <f t="shared" si="2"/>
        <v>0</v>
      </c>
      <c r="I16" s="99">
        <v>0</v>
      </c>
      <c r="J16" s="101">
        <v>0</v>
      </c>
      <c r="K16" s="101">
        <f t="shared" si="3"/>
        <v>0</v>
      </c>
      <c r="L16" s="103">
        <f t="shared" si="4"/>
        <v>0</v>
      </c>
      <c r="M16" s="104">
        <f t="shared" si="6"/>
        <v>0.7</v>
      </c>
      <c r="N16" s="105">
        <f t="shared" si="5"/>
        <v>0</v>
      </c>
    </row>
    <row r="17" spans="1:15" ht="19.5" hidden="1" customHeight="1">
      <c r="A17" s="77" t="s">
        <v>57</v>
      </c>
      <c r="B17" s="106" t="s">
        <v>58</v>
      </c>
      <c r="C17" s="79" t="s">
        <v>42</v>
      </c>
      <c r="D17" s="80">
        <v>0</v>
      </c>
      <c r="E17" s="81">
        <v>20</v>
      </c>
      <c r="F17" s="82">
        <f t="shared" si="0"/>
        <v>0</v>
      </c>
      <c r="G17" s="83">
        <f t="shared" si="1"/>
        <v>0.1633</v>
      </c>
      <c r="H17" s="82">
        <f t="shared" si="2"/>
        <v>0</v>
      </c>
      <c r="I17" s="80">
        <v>0</v>
      </c>
      <c r="J17" s="82">
        <v>0</v>
      </c>
      <c r="K17" s="82">
        <f t="shared" si="3"/>
        <v>0</v>
      </c>
      <c r="L17" s="82">
        <f t="shared" si="4"/>
        <v>0</v>
      </c>
      <c r="M17" s="84">
        <f t="shared" si="6"/>
        <v>0.7</v>
      </c>
      <c r="N17" s="85">
        <f t="shared" si="5"/>
        <v>0</v>
      </c>
    </row>
    <row r="18" spans="1:15" ht="19.5" hidden="1" customHeight="1">
      <c r="A18" s="96" t="s">
        <v>57</v>
      </c>
      <c r="B18" s="108" t="s">
        <v>59</v>
      </c>
      <c r="C18" s="98" t="s">
        <v>42</v>
      </c>
      <c r="D18" s="99">
        <v>0</v>
      </c>
      <c r="E18" s="100">
        <v>100</v>
      </c>
      <c r="F18" s="101">
        <f t="shared" si="0"/>
        <v>0</v>
      </c>
      <c r="G18" s="102">
        <f t="shared" si="1"/>
        <v>0.1633</v>
      </c>
      <c r="H18" s="101">
        <f t="shared" si="2"/>
        <v>0</v>
      </c>
      <c r="I18" s="99">
        <v>0</v>
      </c>
      <c r="J18" s="101">
        <v>0</v>
      </c>
      <c r="K18" s="101">
        <f t="shared" si="3"/>
        <v>0</v>
      </c>
      <c r="L18" s="103">
        <f t="shared" si="4"/>
        <v>0</v>
      </c>
      <c r="M18" s="104">
        <f t="shared" si="6"/>
        <v>0.7</v>
      </c>
      <c r="N18" s="105">
        <f t="shared" si="5"/>
        <v>0</v>
      </c>
    </row>
    <row r="19" spans="1:15" ht="19.5" hidden="1" customHeight="1">
      <c r="A19" s="77" t="s">
        <v>57</v>
      </c>
      <c r="B19" s="106" t="s">
        <v>60</v>
      </c>
      <c r="C19" s="79" t="s">
        <v>42</v>
      </c>
      <c r="D19" s="80">
        <v>0</v>
      </c>
      <c r="E19" s="81">
        <v>50</v>
      </c>
      <c r="F19" s="82">
        <f t="shared" si="0"/>
        <v>0</v>
      </c>
      <c r="G19" s="83">
        <f t="shared" si="1"/>
        <v>0.1633</v>
      </c>
      <c r="H19" s="82">
        <f t="shared" si="2"/>
        <v>0</v>
      </c>
      <c r="I19" s="80">
        <v>0</v>
      </c>
      <c r="J19" s="82">
        <v>0</v>
      </c>
      <c r="K19" s="82">
        <f t="shared" si="3"/>
        <v>0</v>
      </c>
      <c r="L19" s="82">
        <f t="shared" si="4"/>
        <v>0</v>
      </c>
      <c r="M19" s="84">
        <f t="shared" si="6"/>
        <v>0.7</v>
      </c>
      <c r="N19" s="85">
        <f t="shared" si="5"/>
        <v>0</v>
      </c>
    </row>
    <row r="20" spans="1:15" ht="19.5" customHeight="1">
      <c r="A20" s="109" t="s">
        <v>61</v>
      </c>
      <c r="B20" s="110" t="s">
        <v>62</v>
      </c>
      <c r="C20" s="111" t="s">
        <v>42</v>
      </c>
      <c r="D20" s="112">
        <v>1</v>
      </c>
      <c r="E20" s="113">
        <v>100</v>
      </c>
      <c r="F20" s="114">
        <f t="shared" si="0"/>
        <v>100</v>
      </c>
      <c r="G20" s="115">
        <f t="shared" si="1"/>
        <v>0.1633</v>
      </c>
      <c r="H20" s="114">
        <f t="shared" si="2"/>
        <v>116.33</v>
      </c>
      <c r="I20" s="112">
        <v>0</v>
      </c>
      <c r="J20" s="114">
        <v>0</v>
      </c>
      <c r="K20" s="114">
        <f t="shared" si="3"/>
        <v>0</v>
      </c>
      <c r="L20" s="114">
        <f t="shared" si="4"/>
        <v>197.761</v>
      </c>
      <c r="M20" s="116">
        <f t="shared" si="6"/>
        <v>0.7</v>
      </c>
      <c r="N20" s="117">
        <f t="shared" si="5"/>
        <v>197.761</v>
      </c>
      <c r="O20" s="118">
        <f>L20*1/N20</f>
        <v>1</v>
      </c>
    </row>
    <row r="21" spans="1:15" ht="19.5" hidden="1" customHeight="1">
      <c r="A21" s="77" t="s">
        <v>61</v>
      </c>
      <c r="B21" s="106" t="s">
        <v>63</v>
      </c>
      <c r="C21" s="79" t="s">
        <v>42</v>
      </c>
      <c r="D21" s="80">
        <v>0</v>
      </c>
      <c r="E21" s="81">
        <v>40</v>
      </c>
      <c r="F21" s="82">
        <f t="shared" si="0"/>
        <v>0</v>
      </c>
      <c r="G21" s="83">
        <f t="shared" si="1"/>
        <v>0.1633</v>
      </c>
      <c r="H21" s="82">
        <f t="shared" si="2"/>
        <v>0</v>
      </c>
      <c r="I21" s="80">
        <v>0</v>
      </c>
      <c r="J21" s="82">
        <v>0</v>
      </c>
      <c r="K21" s="82">
        <f t="shared" si="3"/>
        <v>0</v>
      </c>
      <c r="L21" s="82">
        <f t="shared" si="4"/>
        <v>0</v>
      </c>
      <c r="M21" s="84">
        <f t="shared" si="6"/>
        <v>0.7</v>
      </c>
      <c r="N21" s="85">
        <f t="shared" si="5"/>
        <v>0</v>
      </c>
    </row>
    <row r="22" spans="1:15" ht="19.5" hidden="1" customHeight="1">
      <c r="A22" s="96" t="s">
        <v>61</v>
      </c>
      <c r="B22" s="108" t="s">
        <v>64</v>
      </c>
      <c r="C22" s="98" t="s">
        <v>42</v>
      </c>
      <c r="D22" s="99">
        <v>0</v>
      </c>
      <c r="E22" s="100">
        <v>40</v>
      </c>
      <c r="F22" s="101">
        <f t="shared" si="0"/>
        <v>0</v>
      </c>
      <c r="G22" s="102">
        <f t="shared" si="1"/>
        <v>0.1633</v>
      </c>
      <c r="H22" s="101">
        <f t="shared" si="2"/>
        <v>0</v>
      </c>
      <c r="I22" s="99">
        <v>0</v>
      </c>
      <c r="J22" s="101">
        <v>0</v>
      </c>
      <c r="K22" s="101">
        <f t="shared" si="3"/>
        <v>0</v>
      </c>
      <c r="L22" s="103">
        <f t="shared" si="4"/>
        <v>0</v>
      </c>
      <c r="M22" s="104">
        <f t="shared" si="6"/>
        <v>0.7</v>
      </c>
      <c r="N22" s="105">
        <f t="shared" si="5"/>
        <v>0</v>
      </c>
    </row>
    <row r="23" spans="1:15" ht="19.5" hidden="1" customHeight="1">
      <c r="A23" s="77" t="s">
        <v>61</v>
      </c>
      <c r="B23" s="106" t="s">
        <v>65</v>
      </c>
      <c r="C23" s="79" t="s">
        <v>42</v>
      </c>
      <c r="D23" s="80">
        <v>0</v>
      </c>
      <c r="E23" s="81">
        <v>20</v>
      </c>
      <c r="F23" s="82">
        <f t="shared" si="0"/>
        <v>0</v>
      </c>
      <c r="G23" s="83">
        <f t="shared" si="1"/>
        <v>0.1633</v>
      </c>
      <c r="H23" s="82">
        <f t="shared" si="2"/>
        <v>0</v>
      </c>
      <c r="I23" s="80">
        <v>0</v>
      </c>
      <c r="J23" s="82">
        <v>0</v>
      </c>
      <c r="K23" s="82">
        <f t="shared" si="3"/>
        <v>0</v>
      </c>
      <c r="L23" s="82">
        <f t="shared" si="4"/>
        <v>0</v>
      </c>
      <c r="M23" s="84">
        <f t="shared" si="6"/>
        <v>0.7</v>
      </c>
      <c r="N23" s="85">
        <f t="shared" si="5"/>
        <v>0</v>
      </c>
    </row>
    <row r="24" spans="1:15" ht="19.5" customHeight="1">
      <c r="A24" s="86" t="s">
        <v>61</v>
      </c>
      <c r="B24" s="119" t="s">
        <v>66</v>
      </c>
      <c r="C24" s="88" t="s">
        <v>42</v>
      </c>
      <c r="D24" s="89">
        <v>1</v>
      </c>
      <c r="E24" s="90">
        <v>100</v>
      </c>
      <c r="F24" s="91">
        <f t="shared" si="0"/>
        <v>100</v>
      </c>
      <c r="G24" s="92">
        <f t="shared" si="1"/>
        <v>0.1633</v>
      </c>
      <c r="H24" s="91">
        <f t="shared" si="2"/>
        <v>116.33</v>
      </c>
      <c r="I24" s="89">
        <v>0</v>
      </c>
      <c r="J24" s="91">
        <v>0</v>
      </c>
      <c r="K24" s="91">
        <f t="shared" si="3"/>
        <v>0</v>
      </c>
      <c r="L24" s="91">
        <f t="shared" si="4"/>
        <v>197.761</v>
      </c>
      <c r="M24" s="93">
        <f t="shared" si="6"/>
        <v>0.7</v>
      </c>
      <c r="N24" s="94">
        <f t="shared" si="5"/>
        <v>197.761</v>
      </c>
      <c r="O24" s="95">
        <f>L24*1/N24</f>
        <v>1</v>
      </c>
    </row>
    <row r="25" spans="1:15" ht="19.5" hidden="1" customHeight="1">
      <c r="A25" s="77" t="s">
        <v>61</v>
      </c>
      <c r="B25" s="106" t="s">
        <v>67</v>
      </c>
      <c r="C25" s="79" t="s">
        <v>42</v>
      </c>
      <c r="D25" s="80">
        <v>0</v>
      </c>
      <c r="E25" s="81">
        <v>150</v>
      </c>
      <c r="F25" s="82">
        <f t="shared" si="0"/>
        <v>0</v>
      </c>
      <c r="G25" s="83">
        <f t="shared" si="1"/>
        <v>0.1633</v>
      </c>
      <c r="H25" s="82">
        <f t="shared" si="2"/>
        <v>0</v>
      </c>
      <c r="I25" s="80">
        <v>0</v>
      </c>
      <c r="J25" s="82">
        <v>0</v>
      </c>
      <c r="K25" s="82">
        <f t="shared" si="3"/>
        <v>0</v>
      </c>
      <c r="L25" s="82">
        <f t="shared" si="4"/>
        <v>0</v>
      </c>
      <c r="M25" s="84">
        <f t="shared" si="6"/>
        <v>0.7</v>
      </c>
      <c r="N25" s="85">
        <f t="shared" si="5"/>
        <v>0</v>
      </c>
    </row>
    <row r="26" spans="1:15" ht="19.5" customHeight="1">
      <c r="A26" s="120" t="s">
        <v>68</v>
      </c>
      <c r="B26" s="120" t="s">
        <v>69</v>
      </c>
      <c r="C26" s="121" t="s">
        <v>70</v>
      </c>
      <c r="D26" s="122">
        <v>10</v>
      </c>
      <c r="E26" s="123">
        <v>140</v>
      </c>
      <c r="F26" s="124">
        <f t="shared" si="0"/>
        <v>1400</v>
      </c>
      <c r="G26" s="125">
        <f t="shared" si="1"/>
        <v>0.1633</v>
      </c>
      <c r="H26" s="124">
        <f t="shared" si="2"/>
        <v>1628.62</v>
      </c>
      <c r="I26" s="122">
        <v>1</v>
      </c>
      <c r="J26" s="124">
        <v>800</v>
      </c>
      <c r="K26" s="124">
        <f t="shared" si="3"/>
        <v>800</v>
      </c>
      <c r="L26" s="124">
        <f t="shared" si="4"/>
        <v>1968.6539999999995</v>
      </c>
      <c r="M26" s="126">
        <f t="shared" si="6"/>
        <v>0.7</v>
      </c>
      <c r="N26" s="127">
        <f t="shared" si="5"/>
        <v>2768.6539999999995</v>
      </c>
      <c r="O26" s="95">
        <f>L26*1/N26</f>
        <v>0.71105092944080406</v>
      </c>
    </row>
    <row r="27" spans="1:15" ht="19.5" hidden="1" customHeight="1">
      <c r="A27" s="128" t="s">
        <v>68</v>
      </c>
      <c r="B27" s="128" t="s">
        <v>71</v>
      </c>
      <c r="C27" s="88" t="s">
        <v>70</v>
      </c>
      <c r="D27" s="89">
        <v>0</v>
      </c>
      <c r="E27" s="90">
        <v>160</v>
      </c>
      <c r="F27" s="91">
        <f t="shared" si="0"/>
        <v>0</v>
      </c>
      <c r="G27" s="92">
        <f t="shared" si="1"/>
        <v>0.1633</v>
      </c>
      <c r="H27" s="91">
        <f t="shared" si="2"/>
        <v>0</v>
      </c>
      <c r="I27" s="89">
        <v>0</v>
      </c>
      <c r="J27" s="91">
        <v>0</v>
      </c>
      <c r="K27" s="91">
        <f t="shared" si="3"/>
        <v>0</v>
      </c>
      <c r="L27" s="91">
        <f t="shared" si="4"/>
        <v>0</v>
      </c>
      <c r="M27" s="93">
        <f t="shared" si="6"/>
        <v>0.7</v>
      </c>
      <c r="N27" s="94">
        <f t="shared" si="5"/>
        <v>0</v>
      </c>
    </row>
    <row r="28" spans="1:15" ht="19.5" customHeight="1">
      <c r="A28" s="120" t="s">
        <v>68</v>
      </c>
      <c r="B28" s="120" t="s">
        <v>72</v>
      </c>
      <c r="C28" s="121" t="s">
        <v>42</v>
      </c>
      <c r="D28" s="122">
        <v>1</v>
      </c>
      <c r="E28" s="123">
        <v>200</v>
      </c>
      <c r="F28" s="124">
        <f t="shared" si="0"/>
        <v>200</v>
      </c>
      <c r="G28" s="125">
        <f t="shared" si="1"/>
        <v>0.1633</v>
      </c>
      <c r="H28" s="124">
        <f t="shared" si="2"/>
        <v>232.66</v>
      </c>
      <c r="I28" s="122">
        <v>1</v>
      </c>
      <c r="J28" s="124">
        <v>150</v>
      </c>
      <c r="K28" s="124">
        <f t="shared" si="3"/>
        <v>150</v>
      </c>
      <c r="L28" s="124">
        <f t="shared" si="4"/>
        <v>245.52199999999999</v>
      </c>
      <c r="M28" s="126">
        <f t="shared" si="6"/>
        <v>0.7</v>
      </c>
      <c r="N28" s="127">
        <f t="shared" si="5"/>
        <v>395.52199999999999</v>
      </c>
      <c r="O28" s="95">
        <f t="shared" ref="O28:O29" si="7">L28*1/N28</f>
        <v>0.62075434489105541</v>
      </c>
    </row>
    <row r="29" spans="1:15" ht="19.5" customHeight="1">
      <c r="A29" s="120" t="s">
        <v>68</v>
      </c>
      <c r="B29" s="120" t="s">
        <v>73</v>
      </c>
      <c r="C29" s="121" t="s">
        <v>42</v>
      </c>
      <c r="D29" s="122">
        <v>1</v>
      </c>
      <c r="E29" s="123">
        <v>300</v>
      </c>
      <c r="F29" s="124">
        <f t="shared" si="0"/>
        <v>300</v>
      </c>
      <c r="G29" s="125">
        <f t="shared" si="1"/>
        <v>0.1633</v>
      </c>
      <c r="H29" s="124">
        <f t="shared" si="2"/>
        <v>348.99</v>
      </c>
      <c r="I29" s="122">
        <v>1</v>
      </c>
      <c r="J29" s="124">
        <v>150</v>
      </c>
      <c r="K29" s="124">
        <f t="shared" si="3"/>
        <v>150</v>
      </c>
      <c r="L29" s="124">
        <f t="shared" si="4"/>
        <v>443.28300000000002</v>
      </c>
      <c r="M29" s="126">
        <f t="shared" si="6"/>
        <v>0.7</v>
      </c>
      <c r="N29" s="127">
        <f t="shared" si="5"/>
        <v>593.28300000000002</v>
      </c>
      <c r="O29" s="95">
        <f t="shared" si="7"/>
        <v>0.74716956326070361</v>
      </c>
    </row>
    <row r="30" spans="1:15" ht="19.5" hidden="1" customHeight="1">
      <c r="A30" s="96" t="s">
        <v>74</v>
      </c>
      <c r="B30" s="108" t="s">
        <v>75</v>
      </c>
      <c r="C30" s="98" t="s">
        <v>42</v>
      </c>
      <c r="D30" s="99">
        <v>0</v>
      </c>
      <c r="E30" s="100">
        <v>300</v>
      </c>
      <c r="F30" s="101">
        <f t="shared" si="0"/>
        <v>0</v>
      </c>
      <c r="G30" s="102">
        <f t="shared" si="1"/>
        <v>0.1633</v>
      </c>
      <c r="H30" s="101">
        <f t="shared" si="2"/>
        <v>0</v>
      </c>
      <c r="I30" s="99">
        <v>0</v>
      </c>
      <c r="J30" s="101">
        <v>0</v>
      </c>
      <c r="K30" s="101">
        <f t="shared" si="3"/>
        <v>0</v>
      </c>
      <c r="L30" s="103">
        <f t="shared" si="4"/>
        <v>0</v>
      </c>
      <c r="M30" s="104">
        <f t="shared" si="6"/>
        <v>0.7</v>
      </c>
      <c r="N30" s="105">
        <f t="shared" si="5"/>
        <v>0</v>
      </c>
    </row>
    <row r="31" spans="1:15" ht="19.5" hidden="1" customHeight="1">
      <c r="A31" s="96" t="s">
        <v>74</v>
      </c>
      <c r="B31" s="106" t="s">
        <v>76</v>
      </c>
      <c r="C31" s="79" t="s">
        <v>42</v>
      </c>
      <c r="D31" s="80">
        <v>0</v>
      </c>
      <c r="E31" s="81">
        <v>40</v>
      </c>
      <c r="F31" s="82">
        <f t="shared" si="0"/>
        <v>0</v>
      </c>
      <c r="G31" s="83">
        <f t="shared" si="1"/>
        <v>0.1633</v>
      </c>
      <c r="H31" s="82">
        <f t="shared" si="2"/>
        <v>0</v>
      </c>
      <c r="I31" s="80">
        <v>0</v>
      </c>
      <c r="J31" s="82">
        <v>0</v>
      </c>
      <c r="K31" s="82">
        <f t="shared" si="3"/>
        <v>0</v>
      </c>
      <c r="L31" s="82">
        <f t="shared" si="4"/>
        <v>0</v>
      </c>
      <c r="M31" s="84">
        <f t="shared" si="6"/>
        <v>0.7</v>
      </c>
      <c r="N31" s="85">
        <f t="shared" si="5"/>
        <v>0</v>
      </c>
    </row>
    <row r="32" spans="1:15" ht="19.5" hidden="1" customHeight="1">
      <c r="A32" s="96" t="s">
        <v>74</v>
      </c>
      <c r="B32" s="108" t="s">
        <v>77</v>
      </c>
      <c r="C32" s="98" t="s">
        <v>42</v>
      </c>
      <c r="D32" s="99">
        <v>0</v>
      </c>
      <c r="E32" s="100">
        <v>60</v>
      </c>
      <c r="F32" s="101">
        <f t="shared" si="0"/>
        <v>0</v>
      </c>
      <c r="G32" s="102">
        <f t="shared" si="1"/>
        <v>0.1633</v>
      </c>
      <c r="H32" s="101">
        <f t="shared" si="2"/>
        <v>0</v>
      </c>
      <c r="I32" s="99">
        <v>0</v>
      </c>
      <c r="J32" s="101">
        <v>0</v>
      </c>
      <c r="K32" s="101">
        <f t="shared" si="3"/>
        <v>0</v>
      </c>
      <c r="L32" s="103">
        <f t="shared" si="4"/>
        <v>0</v>
      </c>
      <c r="M32" s="104">
        <f t="shared" si="6"/>
        <v>0.7</v>
      </c>
      <c r="N32" s="105">
        <f t="shared" si="5"/>
        <v>0</v>
      </c>
    </row>
    <row r="33" spans="1:15" ht="19.5" hidden="1" customHeight="1">
      <c r="A33" s="96" t="s">
        <v>74</v>
      </c>
      <c r="B33" s="106" t="s">
        <v>78</v>
      </c>
      <c r="C33" s="79" t="s">
        <v>42</v>
      </c>
      <c r="D33" s="80">
        <v>0</v>
      </c>
      <c r="E33" s="81">
        <v>40</v>
      </c>
      <c r="F33" s="82">
        <f t="shared" si="0"/>
        <v>0</v>
      </c>
      <c r="G33" s="83">
        <f t="shared" si="1"/>
        <v>0.1633</v>
      </c>
      <c r="H33" s="82">
        <f t="shared" si="2"/>
        <v>0</v>
      </c>
      <c r="I33" s="80">
        <v>0</v>
      </c>
      <c r="J33" s="82">
        <v>0</v>
      </c>
      <c r="K33" s="82">
        <f t="shared" si="3"/>
        <v>0</v>
      </c>
      <c r="L33" s="82">
        <f t="shared" si="4"/>
        <v>0</v>
      </c>
      <c r="M33" s="84">
        <f t="shared" si="6"/>
        <v>0.7</v>
      </c>
      <c r="N33" s="85">
        <f t="shared" si="5"/>
        <v>0</v>
      </c>
    </row>
    <row r="34" spans="1:15" ht="19.5" hidden="1" customHeight="1">
      <c r="A34" s="96" t="s">
        <v>74</v>
      </c>
      <c r="B34" s="108" t="s">
        <v>79</v>
      </c>
      <c r="C34" s="98" t="s">
        <v>42</v>
      </c>
      <c r="D34" s="99">
        <v>0</v>
      </c>
      <c r="E34" s="100">
        <v>40</v>
      </c>
      <c r="F34" s="101">
        <f t="shared" si="0"/>
        <v>0</v>
      </c>
      <c r="G34" s="102">
        <f t="shared" si="1"/>
        <v>0.1633</v>
      </c>
      <c r="H34" s="101">
        <f t="shared" si="2"/>
        <v>0</v>
      </c>
      <c r="I34" s="99">
        <v>0</v>
      </c>
      <c r="J34" s="101">
        <v>0</v>
      </c>
      <c r="K34" s="101">
        <f t="shared" si="3"/>
        <v>0</v>
      </c>
      <c r="L34" s="103">
        <f t="shared" si="4"/>
        <v>0</v>
      </c>
      <c r="M34" s="104">
        <f t="shared" si="6"/>
        <v>0.7</v>
      </c>
      <c r="N34" s="105">
        <f t="shared" si="5"/>
        <v>0</v>
      </c>
    </row>
    <row r="35" spans="1:15" ht="19.5" hidden="1" customHeight="1">
      <c r="A35" s="96" t="s">
        <v>74</v>
      </c>
      <c r="B35" s="106" t="s">
        <v>80</v>
      </c>
      <c r="C35" s="79" t="s">
        <v>42</v>
      </c>
      <c r="D35" s="80">
        <v>0</v>
      </c>
      <c r="E35" s="81">
        <v>50</v>
      </c>
      <c r="F35" s="82">
        <f t="shared" si="0"/>
        <v>0</v>
      </c>
      <c r="G35" s="83">
        <f t="shared" si="1"/>
        <v>0.1633</v>
      </c>
      <c r="H35" s="82">
        <f t="shared" si="2"/>
        <v>0</v>
      </c>
      <c r="I35" s="80">
        <v>0</v>
      </c>
      <c r="J35" s="82">
        <v>0</v>
      </c>
      <c r="K35" s="82">
        <f t="shared" si="3"/>
        <v>0</v>
      </c>
      <c r="L35" s="82">
        <f t="shared" si="4"/>
        <v>0</v>
      </c>
      <c r="M35" s="84">
        <f t="shared" si="6"/>
        <v>0.7</v>
      </c>
      <c r="N35" s="85">
        <f t="shared" si="5"/>
        <v>0</v>
      </c>
    </row>
    <row r="36" spans="1:15" ht="19.5" hidden="1" customHeight="1">
      <c r="A36" s="96" t="s">
        <v>74</v>
      </c>
      <c r="B36" s="108" t="s">
        <v>81</v>
      </c>
      <c r="C36" s="98" t="s">
        <v>42</v>
      </c>
      <c r="D36" s="99">
        <v>0</v>
      </c>
      <c r="E36" s="100">
        <v>40</v>
      </c>
      <c r="F36" s="101">
        <f t="shared" si="0"/>
        <v>0</v>
      </c>
      <c r="G36" s="102">
        <f t="shared" si="1"/>
        <v>0.1633</v>
      </c>
      <c r="H36" s="101">
        <f t="shared" si="2"/>
        <v>0</v>
      </c>
      <c r="I36" s="99">
        <v>0</v>
      </c>
      <c r="J36" s="101">
        <v>0</v>
      </c>
      <c r="K36" s="101">
        <f t="shared" si="3"/>
        <v>0</v>
      </c>
      <c r="L36" s="103">
        <f t="shared" si="4"/>
        <v>0</v>
      </c>
      <c r="M36" s="104">
        <f t="shared" si="6"/>
        <v>0.7</v>
      </c>
      <c r="N36" s="105">
        <f t="shared" si="5"/>
        <v>0</v>
      </c>
    </row>
    <row r="37" spans="1:15" ht="19.5" hidden="1" customHeight="1">
      <c r="A37" s="96" t="s">
        <v>74</v>
      </c>
      <c r="B37" s="106" t="s">
        <v>82</v>
      </c>
      <c r="C37" s="79" t="s">
        <v>42</v>
      </c>
      <c r="D37" s="80">
        <v>0</v>
      </c>
      <c r="E37" s="81">
        <v>30</v>
      </c>
      <c r="F37" s="82">
        <f t="shared" si="0"/>
        <v>0</v>
      </c>
      <c r="G37" s="83">
        <f t="shared" si="1"/>
        <v>0.1633</v>
      </c>
      <c r="H37" s="82">
        <f t="shared" si="2"/>
        <v>0</v>
      </c>
      <c r="I37" s="80">
        <v>0</v>
      </c>
      <c r="J37" s="82">
        <v>0</v>
      </c>
      <c r="K37" s="82">
        <f t="shared" si="3"/>
        <v>0</v>
      </c>
      <c r="L37" s="82">
        <f t="shared" si="4"/>
        <v>0</v>
      </c>
      <c r="M37" s="84">
        <f t="shared" si="6"/>
        <v>0.7</v>
      </c>
      <c r="N37" s="85">
        <f t="shared" si="5"/>
        <v>0</v>
      </c>
    </row>
    <row r="38" spans="1:15" ht="19.5" hidden="1" customHeight="1">
      <c r="A38" s="96" t="s">
        <v>74</v>
      </c>
      <c r="B38" s="108" t="s">
        <v>83</v>
      </c>
      <c r="C38" s="98" t="s">
        <v>42</v>
      </c>
      <c r="D38" s="99">
        <v>0</v>
      </c>
      <c r="E38" s="100">
        <v>25</v>
      </c>
      <c r="F38" s="101">
        <f t="shared" si="0"/>
        <v>0</v>
      </c>
      <c r="G38" s="102">
        <f t="shared" si="1"/>
        <v>0.1633</v>
      </c>
      <c r="H38" s="101">
        <f t="shared" si="2"/>
        <v>0</v>
      </c>
      <c r="I38" s="99">
        <v>0</v>
      </c>
      <c r="J38" s="101">
        <v>0</v>
      </c>
      <c r="K38" s="101">
        <f t="shared" si="3"/>
        <v>0</v>
      </c>
      <c r="L38" s="103">
        <f t="shared" si="4"/>
        <v>0</v>
      </c>
      <c r="M38" s="104">
        <f t="shared" si="6"/>
        <v>0.7</v>
      </c>
      <c r="N38" s="105">
        <f t="shared" si="5"/>
        <v>0</v>
      </c>
    </row>
    <row r="39" spans="1:15" ht="19.5" hidden="1" customHeight="1">
      <c r="A39" s="96" t="s">
        <v>74</v>
      </c>
      <c r="B39" s="106" t="s">
        <v>84</v>
      </c>
      <c r="C39" s="79" t="s">
        <v>42</v>
      </c>
      <c r="D39" s="80">
        <v>0</v>
      </c>
      <c r="E39" s="81">
        <v>40</v>
      </c>
      <c r="F39" s="82">
        <f t="shared" si="0"/>
        <v>0</v>
      </c>
      <c r="G39" s="83">
        <f t="shared" si="1"/>
        <v>0.1633</v>
      </c>
      <c r="H39" s="82">
        <f t="shared" si="2"/>
        <v>0</v>
      </c>
      <c r="I39" s="80">
        <v>0</v>
      </c>
      <c r="J39" s="82">
        <v>0</v>
      </c>
      <c r="K39" s="82">
        <f t="shared" si="3"/>
        <v>0</v>
      </c>
      <c r="L39" s="82">
        <f t="shared" si="4"/>
        <v>0</v>
      </c>
      <c r="M39" s="84">
        <f t="shared" si="6"/>
        <v>0.7</v>
      </c>
      <c r="N39" s="85">
        <f t="shared" si="5"/>
        <v>0</v>
      </c>
    </row>
    <row r="40" spans="1:15" ht="19.5" hidden="1" customHeight="1">
      <c r="A40" s="96" t="s">
        <v>74</v>
      </c>
      <c r="B40" s="108" t="s">
        <v>85</v>
      </c>
      <c r="C40" s="98" t="s">
        <v>42</v>
      </c>
      <c r="D40" s="99">
        <v>0</v>
      </c>
      <c r="E40" s="100">
        <v>40</v>
      </c>
      <c r="F40" s="101">
        <f t="shared" si="0"/>
        <v>0</v>
      </c>
      <c r="G40" s="102">
        <f t="shared" si="1"/>
        <v>0.1633</v>
      </c>
      <c r="H40" s="101">
        <f t="shared" si="2"/>
        <v>0</v>
      </c>
      <c r="I40" s="99">
        <v>0</v>
      </c>
      <c r="J40" s="101">
        <v>0</v>
      </c>
      <c r="K40" s="101">
        <f t="shared" si="3"/>
        <v>0</v>
      </c>
      <c r="L40" s="103">
        <f t="shared" si="4"/>
        <v>0</v>
      </c>
      <c r="M40" s="104">
        <f t="shared" si="6"/>
        <v>0.7</v>
      </c>
      <c r="N40" s="105">
        <f t="shared" si="5"/>
        <v>0</v>
      </c>
    </row>
    <row r="41" spans="1:15" ht="19.5" hidden="1" customHeight="1">
      <c r="A41" s="96" t="s">
        <v>74</v>
      </c>
      <c r="B41" s="106" t="s">
        <v>86</v>
      </c>
      <c r="C41" s="79" t="s">
        <v>42</v>
      </c>
      <c r="D41" s="80">
        <v>0</v>
      </c>
      <c r="E41" s="81">
        <v>18</v>
      </c>
      <c r="F41" s="82">
        <f t="shared" si="0"/>
        <v>0</v>
      </c>
      <c r="G41" s="83">
        <f t="shared" si="1"/>
        <v>0.1633</v>
      </c>
      <c r="H41" s="82">
        <f t="shared" si="2"/>
        <v>0</v>
      </c>
      <c r="I41" s="80">
        <v>0</v>
      </c>
      <c r="J41" s="82">
        <v>0</v>
      </c>
      <c r="K41" s="82">
        <f t="shared" si="3"/>
        <v>0</v>
      </c>
      <c r="L41" s="82">
        <f t="shared" si="4"/>
        <v>0</v>
      </c>
      <c r="M41" s="84">
        <f t="shared" si="6"/>
        <v>0.7</v>
      </c>
      <c r="N41" s="85">
        <f t="shared" si="5"/>
        <v>0</v>
      </c>
    </row>
    <row r="42" spans="1:15" ht="19.5" customHeight="1">
      <c r="A42" s="86" t="s">
        <v>74</v>
      </c>
      <c r="B42" s="119" t="s">
        <v>87</v>
      </c>
      <c r="C42" s="88" t="s">
        <v>42</v>
      </c>
      <c r="D42" s="89">
        <v>12</v>
      </c>
      <c r="E42" s="90">
        <v>50</v>
      </c>
      <c r="F42" s="91">
        <f t="shared" si="0"/>
        <v>600</v>
      </c>
      <c r="G42" s="92">
        <f t="shared" si="1"/>
        <v>0.1633</v>
      </c>
      <c r="H42" s="91">
        <f t="shared" si="2"/>
        <v>697.98</v>
      </c>
      <c r="I42" s="89">
        <v>12</v>
      </c>
      <c r="J42" s="91">
        <v>40</v>
      </c>
      <c r="K42" s="91">
        <f t="shared" si="3"/>
        <v>480</v>
      </c>
      <c r="L42" s="91">
        <f t="shared" si="4"/>
        <v>706.56600000000003</v>
      </c>
      <c r="M42" s="93">
        <f t="shared" si="6"/>
        <v>0.7</v>
      </c>
      <c r="N42" s="94">
        <f t="shared" si="5"/>
        <v>1186.566</v>
      </c>
      <c r="O42" s="95">
        <f t="shared" ref="O42:O43" si="8">L42*1/N42</f>
        <v>0.59547130121712577</v>
      </c>
    </row>
    <row r="43" spans="1:15" ht="19.5" customHeight="1">
      <c r="A43" s="86" t="s">
        <v>74</v>
      </c>
      <c r="B43" s="119" t="s">
        <v>88</v>
      </c>
      <c r="C43" s="88" t="s">
        <v>42</v>
      </c>
      <c r="D43" s="89">
        <v>2</v>
      </c>
      <c r="E43" s="90">
        <v>120</v>
      </c>
      <c r="F43" s="91">
        <f t="shared" si="0"/>
        <v>240</v>
      </c>
      <c r="G43" s="92">
        <f t="shared" si="1"/>
        <v>0.1633</v>
      </c>
      <c r="H43" s="91">
        <f t="shared" si="2"/>
        <v>279.19200000000001</v>
      </c>
      <c r="I43" s="89">
        <v>2</v>
      </c>
      <c r="J43" s="91">
        <v>60</v>
      </c>
      <c r="K43" s="91">
        <f t="shared" si="3"/>
        <v>120</v>
      </c>
      <c r="L43" s="91">
        <f t="shared" si="4"/>
        <v>354.62639999999999</v>
      </c>
      <c r="M43" s="93">
        <f t="shared" si="6"/>
        <v>0.7</v>
      </c>
      <c r="N43" s="94">
        <f t="shared" si="5"/>
        <v>474.62639999999999</v>
      </c>
      <c r="O43" s="95">
        <f t="shared" si="8"/>
        <v>0.74716956326070361</v>
      </c>
    </row>
    <row r="44" spans="1:15" ht="19.5" hidden="1" customHeight="1">
      <c r="A44" s="86" t="s">
        <v>74</v>
      </c>
      <c r="B44" s="119" t="s">
        <v>89</v>
      </c>
      <c r="C44" s="88" t="s">
        <v>42</v>
      </c>
      <c r="D44" s="89">
        <v>0</v>
      </c>
      <c r="E44" s="90">
        <v>35</v>
      </c>
      <c r="F44" s="91">
        <f t="shared" si="0"/>
        <v>0</v>
      </c>
      <c r="G44" s="92">
        <f t="shared" si="1"/>
        <v>0.1633</v>
      </c>
      <c r="H44" s="91">
        <f t="shared" si="2"/>
        <v>0</v>
      </c>
      <c r="I44" s="89">
        <v>0</v>
      </c>
      <c r="J44" s="91">
        <v>0</v>
      </c>
      <c r="K44" s="91">
        <f t="shared" si="3"/>
        <v>0</v>
      </c>
      <c r="L44" s="91">
        <f t="shared" si="4"/>
        <v>0</v>
      </c>
      <c r="M44" s="93">
        <f t="shared" si="6"/>
        <v>0.7</v>
      </c>
      <c r="N44" s="94">
        <f t="shared" si="5"/>
        <v>0</v>
      </c>
      <c r="O44" s="95"/>
    </row>
    <row r="45" spans="1:15" ht="19.5" hidden="1" customHeight="1">
      <c r="A45" s="86" t="s">
        <v>74</v>
      </c>
      <c r="B45" s="119" t="s">
        <v>90</v>
      </c>
      <c r="C45" s="88" t="s">
        <v>42</v>
      </c>
      <c r="D45" s="89">
        <v>0</v>
      </c>
      <c r="E45" s="90">
        <v>45</v>
      </c>
      <c r="F45" s="91">
        <f t="shared" si="0"/>
        <v>0</v>
      </c>
      <c r="G45" s="92">
        <f t="shared" si="1"/>
        <v>0.1633</v>
      </c>
      <c r="H45" s="91">
        <f t="shared" si="2"/>
        <v>0</v>
      </c>
      <c r="I45" s="89">
        <v>0</v>
      </c>
      <c r="J45" s="91">
        <v>0</v>
      </c>
      <c r="K45" s="91">
        <f t="shared" si="3"/>
        <v>0</v>
      </c>
      <c r="L45" s="91">
        <f t="shared" si="4"/>
        <v>0</v>
      </c>
      <c r="M45" s="93">
        <f t="shared" si="6"/>
        <v>0.7</v>
      </c>
      <c r="N45" s="94">
        <f t="shared" si="5"/>
        <v>0</v>
      </c>
      <c r="O45" s="95"/>
    </row>
    <row r="46" spans="1:15" ht="19.5" hidden="1" customHeight="1">
      <c r="A46" s="86" t="s">
        <v>74</v>
      </c>
      <c r="B46" s="119" t="s">
        <v>91</v>
      </c>
      <c r="C46" s="88" t="s">
        <v>42</v>
      </c>
      <c r="D46" s="89">
        <v>0</v>
      </c>
      <c r="E46" s="90">
        <v>75</v>
      </c>
      <c r="F46" s="91">
        <f t="shared" si="0"/>
        <v>0</v>
      </c>
      <c r="G46" s="92">
        <f t="shared" si="1"/>
        <v>0.1633</v>
      </c>
      <c r="H46" s="91">
        <f t="shared" si="2"/>
        <v>0</v>
      </c>
      <c r="I46" s="89">
        <v>0</v>
      </c>
      <c r="J46" s="91">
        <v>0</v>
      </c>
      <c r="K46" s="91">
        <f t="shared" si="3"/>
        <v>0</v>
      </c>
      <c r="L46" s="91">
        <f t="shared" si="4"/>
        <v>0</v>
      </c>
      <c r="M46" s="93">
        <f t="shared" si="6"/>
        <v>0.7</v>
      </c>
      <c r="N46" s="94">
        <f t="shared" si="5"/>
        <v>0</v>
      </c>
      <c r="O46" s="95"/>
    </row>
    <row r="47" spans="1:15" ht="19.5" customHeight="1">
      <c r="A47" s="86" t="s">
        <v>74</v>
      </c>
      <c r="B47" s="119" t="s">
        <v>92</v>
      </c>
      <c r="C47" s="88" t="s">
        <v>42</v>
      </c>
      <c r="D47" s="89">
        <v>1</v>
      </c>
      <c r="E47" s="90">
        <v>100</v>
      </c>
      <c r="F47" s="91">
        <f t="shared" si="0"/>
        <v>100</v>
      </c>
      <c r="G47" s="92">
        <f t="shared" si="1"/>
        <v>0.1633</v>
      </c>
      <c r="H47" s="91">
        <f t="shared" si="2"/>
        <v>116.33</v>
      </c>
      <c r="I47" s="89">
        <v>2</v>
      </c>
      <c r="J47" s="91">
        <v>35</v>
      </c>
      <c r="K47" s="91">
        <f t="shared" si="3"/>
        <v>70</v>
      </c>
      <c r="L47" s="91">
        <f t="shared" si="4"/>
        <v>127.761</v>
      </c>
      <c r="M47" s="93">
        <f t="shared" si="6"/>
        <v>0.7</v>
      </c>
      <c r="N47" s="94">
        <f t="shared" si="5"/>
        <v>197.761</v>
      </c>
      <c r="O47" s="95">
        <f>L47*1/N47</f>
        <v>0.64603738856498505</v>
      </c>
    </row>
    <row r="48" spans="1:15" ht="19.5" hidden="1" customHeight="1">
      <c r="A48" s="86" t="s">
        <v>93</v>
      </c>
      <c r="B48" s="119" t="s">
        <v>94</v>
      </c>
      <c r="C48" s="88" t="s">
        <v>42</v>
      </c>
      <c r="D48" s="89">
        <v>0</v>
      </c>
      <c r="E48" s="90">
        <v>35</v>
      </c>
      <c r="F48" s="91">
        <f t="shared" si="0"/>
        <v>0</v>
      </c>
      <c r="G48" s="92">
        <f t="shared" si="1"/>
        <v>0.1633</v>
      </c>
      <c r="H48" s="91">
        <f t="shared" si="2"/>
        <v>0</v>
      </c>
      <c r="I48" s="89">
        <v>0</v>
      </c>
      <c r="J48" s="91">
        <v>0</v>
      </c>
      <c r="K48" s="91">
        <f t="shared" si="3"/>
        <v>0</v>
      </c>
      <c r="L48" s="91">
        <f t="shared" si="4"/>
        <v>0</v>
      </c>
      <c r="M48" s="93">
        <f t="shared" si="6"/>
        <v>0.7</v>
      </c>
      <c r="N48" s="94">
        <f t="shared" si="5"/>
        <v>0</v>
      </c>
      <c r="O48" s="95"/>
    </row>
    <row r="49" spans="1:15" ht="19.5" hidden="1" customHeight="1">
      <c r="A49" s="86" t="s">
        <v>93</v>
      </c>
      <c r="B49" s="119" t="s">
        <v>95</v>
      </c>
      <c r="C49" s="88" t="s">
        <v>42</v>
      </c>
      <c r="D49" s="89">
        <v>0</v>
      </c>
      <c r="E49" s="90">
        <v>38</v>
      </c>
      <c r="F49" s="91">
        <f t="shared" si="0"/>
        <v>0</v>
      </c>
      <c r="G49" s="92">
        <f t="shared" si="1"/>
        <v>0.1633</v>
      </c>
      <c r="H49" s="91">
        <f t="shared" si="2"/>
        <v>0</v>
      </c>
      <c r="I49" s="89">
        <v>0</v>
      </c>
      <c r="J49" s="91">
        <v>0</v>
      </c>
      <c r="K49" s="91">
        <f t="shared" si="3"/>
        <v>0</v>
      </c>
      <c r="L49" s="91">
        <f t="shared" si="4"/>
        <v>0</v>
      </c>
      <c r="M49" s="93">
        <f t="shared" si="6"/>
        <v>0.7</v>
      </c>
      <c r="N49" s="94">
        <f t="shared" si="5"/>
        <v>0</v>
      </c>
      <c r="O49" s="95"/>
    </row>
    <row r="50" spans="1:15" ht="19.5" hidden="1" customHeight="1">
      <c r="A50" s="86" t="s">
        <v>93</v>
      </c>
      <c r="B50" s="119" t="s">
        <v>96</v>
      </c>
      <c r="C50" s="88" t="s">
        <v>42</v>
      </c>
      <c r="D50" s="89">
        <v>0</v>
      </c>
      <c r="E50" s="90">
        <v>35</v>
      </c>
      <c r="F50" s="91">
        <f t="shared" si="0"/>
        <v>0</v>
      </c>
      <c r="G50" s="92">
        <f t="shared" si="1"/>
        <v>0.1633</v>
      </c>
      <c r="H50" s="91">
        <f t="shared" si="2"/>
        <v>0</v>
      </c>
      <c r="I50" s="89">
        <v>0</v>
      </c>
      <c r="J50" s="91">
        <v>0</v>
      </c>
      <c r="K50" s="91">
        <f t="shared" si="3"/>
        <v>0</v>
      </c>
      <c r="L50" s="91">
        <f t="shared" si="4"/>
        <v>0</v>
      </c>
      <c r="M50" s="93">
        <f t="shared" si="6"/>
        <v>0.7</v>
      </c>
      <c r="N50" s="94">
        <f t="shared" si="5"/>
        <v>0</v>
      </c>
      <c r="O50" s="95"/>
    </row>
    <row r="51" spans="1:15" ht="19.5" hidden="1" customHeight="1">
      <c r="A51" s="86" t="s">
        <v>93</v>
      </c>
      <c r="B51" s="119" t="s">
        <v>97</v>
      </c>
      <c r="C51" s="88" t="s">
        <v>42</v>
      </c>
      <c r="D51" s="89">
        <v>0</v>
      </c>
      <c r="E51" s="90">
        <v>70</v>
      </c>
      <c r="F51" s="91">
        <f t="shared" si="0"/>
        <v>0</v>
      </c>
      <c r="G51" s="92">
        <f t="shared" si="1"/>
        <v>0.1633</v>
      </c>
      <c r="H51" s="91">
        <f t="shared" si="2"/>
        <v>0</v>
      </c>
      <c r="I51" s="89">
        <v>0</v>
      </c>
      <c r="J51" s="91">
        <v>0</v>
      </c>
      <c r="K51" s="91">
        <f t="shared" si="3"/>
        <v>0</v>
      </c>
      <c r="L51" s="91">
        <f t="shared" si="4"/>
        <v>0</v>
      </c>
      <c r="M51" s="93">
        <f t="shared" si="6"/>
        <v>0.7</v>
      </c>
      <c r="N51" s="94">
        <f t="shared" si="5"/>
        <v>0</v>
      </c>
      <c r="O51" s="95"/>
    </row>
    <row r="52" spans="1:15" ht="19.5" hidden="1" customHeight="1">
      <c r="A52" s="86" t="s">
        <v>93</v>
      </c>
      <c r="B52" s="119" t="s">
        <v>98</v>
      </c>
      <c r="C52" s="88" t="s">
        <v>42</v>
      </c>
      <c r="D52" s="89">
        <v>0</v>
      </c>
      <c r="E52" s="90">
        <v>70</v>
      </c>
      <c r="F52" s="91">
        <f t="shared" si="0"/>
        <v>0</v>
      </c>
      <c r="G52" s="92">
        <f t="shared" si="1"/>
        <v>0.1633</v>
      </c>
      <c r="H52" s="91">
        <f t="shared" si="2"/>
        <v>0</v>
      </c>
      <c r="I52" s="89">
        <v>0</v>
      </c>
      <c r="J52" s="91">
        <v>0</v>
      </c>
      <c r="K52" s="91">
        <f t="shared" si="3"/>
        <v>0</v>
      </c>
      <c r="L52" s="91">
        <f t="shared" si="4"/>
        <v>0</v>
      </c>
      <c r="M52" s="93">
        <f t="shared" si="6"/>
        <v>0.7</v>
      </c>
      <c r="N52" s="94">
        <f t="shared" si="5"/>
        <v>0</v>
      </c>
      <c r="O52" s="95"/>
    </row>
    <row r="53" spans="1:15" ht="19.5" hidden="1" customHeight="1">
      <c r="A53" s="86" t="s">
        <v>93</v>
      </c>
      <c r="B53" s="119" t="s">
        <v>99</v>
      </c>
      <c r="C53" s="88" t="s">
        <v>42</v>
      </c>
      <c r="D53" s="89">
        <v>0</v>
      </c>
      <c r="E53" s="90">
        <v>70</v>
      </c>
      <c r="F53" s="91">
        <f t="shared" si="0"/>
        <v>0</v>
      </c>
      <c r="G53" s="92">
        <f t="shared" si="1"/>
        <v>0.1633</v>
      </c>
      <c r="H53" s="91">
        <f t="shared" si="2"/>
        <v>0</v>
      </c>
      <c r="I53" s="89">
        <v>0</v>
      </c>
      <c r="J53" s="91">
        <v>0</v>
      </c>
      <c r="K53" s="91">
        <f t="shared" si="3"/>
        <v>0</v>
      </c>
      <c r="L53" s="91">
        <f t="shared" si="4"/>
        <v>0</v>
      </c>
      <c r="M53" s="93">
        <f t="shared" si="6"/>
        <v>0.7</v>
      </c>
      <c r="N53" s="94">
        <f t="shared" si="5"/>
        <v>0</v>
      </c>
      <c r="O53" s="95"/>
    </row>
    <row r="54" spans="1:15" ht="19.5" hidden="1" customHeight="1">
      <c r="A54" s="86" t="s">
        <v>93</v>
      </c>
      <c r="B54" s="119" t="s">
        <v>100</v>
      </c>
      <c r="C54" s="88" t="s">
        <v>42</v>
      </c>
      <c r="D54" s="89">
        <v>0</v>
      </c>
      <c r="E54" s="90">
        <v>70</v>
      </c>
      <c r="F54" s="91">
        <f t="shared" si="0"/>
        <v>0</v>
      </c>
      <c r="G54" s="92">
        <f t="shared" si="1"/>
        <v>0.1633</v>
      </c>
      <c r="H54" s="91">
        <f t="shared" si="2"/>
        <v>0</v>
      </c>
      <c r="I54" s="89">
        <v>0</v>
      </c>
      <c r="J54" s="91">
        <v>0</v>
      </c>
      <c r="K54" s="91">
        <f t="shared" si="3"/>
        <v>0</v>
      </c>
      <c r="L54" s="91">
        <f t="shared" si="4"/>
        <v>0</v>
      </c>
      <c r="M54" s="93">
        <f t="shared" si="6"/>
        <v>0.7</v>
      </c>
      <c r="N54" s="94">
        <f t="shared" si="5"/>
        <v>0</v>
      </c>
      <c r="O54" s="95"/>
    </row>
    <row r="55" spans="1:15" ht="19.5" hidden="1" customHeight="1">
      <c r="A55" s="86" t="s">
        <v>93</v>
      </c>
      <c r="B55" s="119" t="s">
        <v>101</v>
      </c>
      <c r="C55" s="88" t="s">
        <v>42</v>
      </c>
      <c r="D55" s="89">
        <v>0</v>
      </c>
      <c r="E55" s="90">
        <v>1100</v>
      </c>
      <c r="F55" s="91">
        <f t="shared" si="0"/>
        <v>0</v>
      </c>
      <c r="G55" s="92">
        <f t="shared" si="1"/>
        <v>0.1633</v>
      </c>
      <c r="H55" s="91">
        <f t="shared" si="2"/>
        <v>0</v>
      </c>
      <c r="I55" s="89">
        <v>0</v>
      </c>
      <c r="J55" s="91">
        <v>0</v>
      </c>
      <c r="K55" s="91">
        <f t="shared" si="3"/>
        <v>0</v>
      </c>
      <c r="L55" s="91">
        <f t="shared" si="4"/>
        <v>0</v>
      </c>
      <c r="M55" s="93">
        <f t="shared" si="6"/>
        <v>0.7</v>
      </c>
      <c r="N55" s="94">
        <f t="shared" si="5"/>
        <v>0</v>
      </c>
      <c r="O55" s="95"/>
    </row>
    <row r="56" spans="1:15" ht="19.5" hidden="1" customHeight="1">
      <c r="A56" s="86" t="s">
        <v>93</v>
      </c>
      <c r="B56" s="119" t="s">
        <v>102</v>
      </c>
      <c r="C56" s="88" t="s">
        <v>42</v>
      </c>
      <c r="D56" s="89">
        <v>0</v>
      </c>
      <c r="E56" s="90">
        <v>70</v>
      </c>
      <c r="F56" s="91">
        <f t="shared" si="0"/>
        <v>0</v>
      </c>
      <c r="G56" s="92">
        <f t="shared" si="1"/>
        <v>0.1633</v>
      </c>
      <c r="H56" s="91">
        <f t="shared" si="2"/>
        <v>0</v>
      </c>
      <c r="I56" s="89">
        <v>0</v>
      </c>
      <c r="J56" s="91">
        <v>0</v>
      </c>
      <c r="K56" s="91">
        <f t="shared" si="3"/>
        <v>0</v>
      </c>
      <c r="L56" s="91">
        <f t="shared" si="4"/>
        <v>0</v>
      </c>
      <c r="M56" s="93">
        <f t="shared" si="6"/>
        <v>0.7</v>
      </c>
      <c r="N56" s="94">
        <f t="shared" si="5"/>
        <v>0</v>
      </c>
      <c r="O56" s="95"/>
    </row>
    <row r="57" spans="1:15" ht="19.5" hidden="1" customHeight="1">
      <c r="A57" s="86" t="s">
        <v>103</v>
      </c>
      <c r="B57" s="119" t="s">
        <v>104</v>
      </c>
      <c r="C57" s="88" t="s">
        <v>42</v>
      </c>
      <c r="D57" s="89">
        <v>0</v>
      </c>
      <c r="E57" s="90">
        <v>40</v>
      </c>
      <c r="F57" s="91">
        <f t="shared" si="0"/>
        <v>0</v>
      </c>
      <c r="G57" s="92">
        <f t="shared" si="1"/>
        <v>0.1633</v>
      </c>
      <c r="H57" s="91">
        <f t="shared" si="2"/>
        <v>0</v>
      </c>
      <c r="I57" s="89">
        <v>0</v>
      </c>
      <c r="J57" s="91">
        <v>0</v>
      </c>
      <c r="K57" s="91">
        <f t="shared" si="3"/>
        <v>0</v>
      </c>
      <c r="L57" s="91">
        <f t="shared" si="4"/>
        <v>0</v>
      </c>
      <c r="M57" s="93">
        <f t="shared" si="6"/>
        <v>0.7</v>
      </c>
      <c r="N57" s="94">
        <f t="shared" si="5"/>
        <v>0</v>
      </c>
      <c r="O57" s="95"/>
    </row>
    <row r="58" spans="1:15" ht="19.5" customHeight="1">
      <c r="A58" s="86" t="s">
        <v>103</v>
      </c>
      <c r="B58" s="119" t="s">
        <v>105</v>
      </c>
      <c r="C58" s="88" t="s">
        <v>42</v>
      </c>
      <c r="D58" s="89">
        <v>2</v>
      </c>
      <c r="E58" s="90">
        <v>200</v>
      </c>
      <c r="F58" s="91">
        <f t="shared" si="0"/>
        <v>400</v>
      </c>
      <c r="G58" s="92">
        <f t="shared" si="1"/>
        <v>0.1633</v>
      </c>
      <c r="H58" s="91">
        <f t="shared" si="2"/>
        <v>465.32</v>
      </c>
      <c r="I58" s="89">
        <v>2</v>
      </c>
      <c r="J58" s="91">
        <v>100</v>
      </c>
      <c r="K58" s="91">
        <f t="shared" si="3"/>
        <v>200</v>
      </c>
      <c r="L58" s="91">
        <f t="shared" si="4"/>
        <v>591.04399999999998</v>
      </c>
      <c r="M58" s="93">
        <f t="shared" si="6"/>
        <v>0.7</v>
      </c>
      <c r="N58" s="94">
        <f t="shared" si="5"/>
        <v>791.04399999999998</v>
      </c>
      <c r="O58" s="95">
        <f>L58*1/N58</f>
        <v>0.74716956326070361</v>
      </c>
    </row>
    <row r="59" spans="1:15" ht="19.5" hidden="1" customHeight="1">
      <c r="A59" s="86" t="s">
        <v>103</v>
      </c>
      <c r="B59" s="119" t="s">
        <v>106</v>
      </c>
      <c r="C59" s="88" t="s">
        <v>42</v>
      </c>
      <c r="D59" s="89">
        <v>0</v>
      </c>
      <c r="E59" s="90">
        <v>30</v>
      </c>
      <c r="F59" s="91">
        <f t="shared" si="0"/>
        <v>0</v>
      </c>
      <c r="G59" s="92">
        <f t="shared" si="1"/>
        <v>0.1633</v>
      </c>
      <c r="H59" s="91">
        <f t="shared" si="2"/>
        <v>0</v>
      </c>
      <c r="I59" s="89">
        <v>0</v>
      </c>
      <c r="J59" s="91">
        <v>0</v>
      </c>
      <c r="K59" s="91">
        <f t="shared" si="3"/>
        <v>0</v>
      </c>
      <c r="L59" s="91">
        <f t="shared" si="4"/>
        <v>0</v>
      </c>
      <c r="M59" s="93">
        <f t="shared" si="6"/>
        <v>0.7</v>
      </c>
      <c r="N59" s="94">
        <f t="shared" si="5"/>
        <v>0</v>
      </c>
      <c r="O59" s="95"/>
    </row>
    <row r="60" spans="1:15" ht="19.5" hidden="1" customHeight="1">
      <c r="A60" s="86" t="s">
        <v>103</v>
      </c>
      <c r="B60" s="119" t="s">
        <v>107</v>
      </c>
      <c r="C60" s="88" t="s">
        <v>42</v>
      </c>
      <c r="D60" s="89">
        <v>0</v>
      </c>
      <c r="E60" s="90">
        <v>30</v>
      </c>
      <c r="F60" s="91">
        <f t="shared" si="0"/>
        <v>0</v>
      </c>
      <c r="G60" s="92">
        <f t="shared" si="1"/>
        <v>0.1633</v>
      </c>
      <c r="H60" s="91">
        <f t="shared" si="2"/>
        <v>0</v>
      </c>
      <c r="I60" s="89">
        <v>0</v>
      </c>
      <c r="J60" s="91">
        <v>0</v>
      </c>
      <c r="K60" s="91">
        <f t="shared" si="3"/>
        <v>0</v>
      </c>
      <c r="L60" s="91">
        <f t="shared" si="4"/>
        <v>0</v>
      </c>
      <c r="M60" s="93">
        <f t="shared" si="6"/>
        <v>0.7</v>
      </c>
      <c r="N60" s="94">
        <f t="shared" si="5"/>
        <v>0</v>
      </c>
      <c r="O60" s="95"/>
    </row>
    <row r="61" spans="1:15" ht="19.5" hidden="1" customHeight="1">
      <c r="A61" s="86" t="s">
        <v>103</v>
      </c>
      <c r="B61" s="119" t="s">
        <v>108</v>
      </c>
      <c r="C61" s="88" t="s">
        <v>42</v>
      </c>
      <c r="D61" s="89">
        <v>0</v>
      </c>
      <c r="E61" s="90">
        <v>90</v>
      </c>
      <c r="F61" s="91">
        <f t="shared" si="0"/>
        <v>0</v>
      </c>
      <c r="G61" s="92">
        <f t="shared" si="1"/>
        <v>0.1633</v>
      </c>
      <c r="H61" s="91">
        <f t="shared" si="2"/>
        <v>0</v>
      </c>
      <c r="I61" s="89">
        <v>0</v>
      </c>
      <c r="J61" s="91">
        <v>0</v>
      </c>
      <c r="K61" s="91">
        <f t="shared" si="3"/>
        <v>0</v>
      </c>
      <c r="L61" s="91">
        <f t="shared" si="4"/>
        <v>0</v>
      </c>
      <c r="M61" s="93">
        <f t="shared" si="6"/>
        <v>0.7</v>
      </c>
      <c r="N61" s="94">
        <f t="shared" si="5"/>
        <v>0</v>
      </c>
      <c r="O61" s="95"/>
    </row>
    <row r="62" spans="1:15" ht="19.5" hidden="1" customHeight="1">
      <c r="A62" s="86" t="s">
        <v>103</v>
      </c>
      <c r="B62" s="119" t="s">
        <v>109</v>
      </c>
      <c r="C62" s="88" t="s">
        <v>42</v>
      </c>
      <c r="D62" s="89">
        <v>0</v>
      </c>
      <c r="E62" s="90">
        <v>50</v>
      </c>
      <c r="F62" s="91">
        <f t="shared" si="0"/>
        <v>0</v>
      </c>
      <c r="G62" s="92">
        <f t="shared" si="1"/>
        <v>0.1633</v>
      </c>
      <c r="H62" s="91">
        <f t="shared" si="2"/>
        <v>0</v>
      </c>
      <c r="I62" s="89">
        <v>0</v>
      </c>
      <c r="J62" s="91">
        <v>0</v>
      </c>
      <c r="K62" s="91">
        <f t="shared" si="3"/>
        <v>0</v>
      </c>
      <c r="L62" s="91">
        <f t="shared" si="4"/>
        <v>0</v>
      </c>
      <c r="M62" s="93">
        <f t="shared" si="6"/>
        <v>0.7</v>
      </c>
      <c r="N62" s="94">
        <f t="shared" si="5"/>
        <v>0</v>
      </c>
      <c r="O62" s="95"/>
    </row>
    <row r="63" spans="1:15" ht="19.5" hidden="1" customHeight="1">
      <c r="A63" s="86" t="s">
        <v>103</v>
      </c>
      <c r="B63" s="119" t="s">
        <v>110</v>
      </c>
      <c r="C63" s="88" t="s">
        <v>42</v>
      </c>
      <c r="D63" s="89">
        <v>0</v>
      </c>
      <c r="E63" s="90">
        <v>40</v>
      </c>
      <c r="F63" s="91">
        <f t="shared" si="0"/>
        <v>0</v>
      </c>
      <c r="G63" s="92">
        <f t="shared" si="1"/>
        <v>0.1633</v>
      </c>
      <c r="H63" s="91">
        <f t="shared" si="2"/>
        <v>0</v>
      </c>
      <c r="I63" s="89">
        <v>0</v>
      </c>
      <c r="J63" s="91">
        <v>0</v>
      </c>
      <c r="K63" s="91">
        <f t="shared" si="3"/>
        <v>0</v>
      </c>
      <c r="L63" s="91">
        <f t="shared" si="4"/>
        <v>0</v>
      </c>
      <c r="M63" s="93">
        <f t="shared" si="6"/>
        <v>0.7</v>
      </c>
      <c r="N63" s="94">
        <f t="shared" si="5"/>
        <v>0</v>
      </c>
      <c r="O63" s="95"/>
    </row>
    <row r="64" spans="1:15" ht="19.5" hidden="1" customHeight="1">
      <c r="A64" s="86" t="s">
        <v>103</v>
      </c>
      <c r="B64" s="119" t="s">
        <v>111</v>
      </c>
      <c r="C64" s="88" t="s">
        <v>42</v>
      </c>
      <c r="D64" s="89">
        <v>0</v>
      </c>
      <c r="E64" s="90">
        <v>40</v>
      </c>
      <c r="F64" s="91">
        <f t="shared" si="0"/>
        <v>0</v>
      </c>
      <c r="G64" s="92">
        <f t="shared" si="1"/>
        <v>0.1633</v>
      </c>
      <c r="H64" s="91">
        <f t="shared" si="2"/>
        <v>0</v>
      </c>
      <c r="I64" s="89">
        <v>0</v>
      </c>
      <c r="J64" s="91">
        <v>0</v>
      </c>
      <c r="K64" s="91">
        <f t="shared" si="3"/>
        <v>0</v>
      </c>
      <c r="L64" s="91">
        <f t="shared" si="4"/>
        <v>0</v>
      </c>
      <c r="M64" s="93">
        <f t="shared" si="6"/>
        <v>0.7</v>
      </c>
      <c r="N64" s="94">
        <f t="shared" si="5"/>
        <v>0</v>
      </c>
      <c r="O64" s="95"/>
    </row>
    <row r="65" spans="1:15" ht="19.5" hidden="1" customHeight="1">
      <c r="A65" s="86" t="s">
        <v>103</v>
      </c>
      <c r="B65" s="119" t="s">
        <v>112</v>
      </c>
      <c r="C65" s="88" t="s">
        <v>42</v>
      </c>
      <c r="D65" s="89">
        <v>0</v>
      </c>
      <c r="E65" s="90">
        <v>100</v>
      </c>
      <c r="F65" s="91">
        <f t="shared" si="0"/>
        <v>0</v>
      </c>
      <c r="G65" s="92">
        <f t="shared" si="1"/>
        <v>0.1633</v>
      </c>
      <c r="H65" s="91">
        <f t="shared" si="2"/>
        <v>0</v>
      </c>
      <c r="I65" s="89">
        <v>0</v>
      </c>
      <c r="J65" s="91">
        <v>0</v>
      </c>
      <c r="K65" s="91">
        <f t="shared" si="3"/>
        <v>0</v>
      </c>
      <c r="L65" s="91">
        <f t="shared" si="4"/>
        <v>0</v>
      </c>
      <c r="M65" s="93">
        <f t="shared" si="6"/>
        <v>0.7</v>
      </c>
      <c r="N65" s="94">
        <f t="shared" si="5"/>
        <v>0</v>
      </c>
      <c r="O65" s="95"/>
    </row>
    <row r="66" spans="1:15" ht="19.5" hidden="1" customHeight="1">
      <c r="A66" s="86" t="s">
        <v>103</v>
      </c>
      <c r="B66" s="119" t="s">
        <v>113</v>
      </c>
      <c r="C66" s="88" t="s">
        <v>42</v>
      </c>
      <c r="D66" s="89">
        <v>0</v>
      </c>
      <c r="E66" s="90">
        <v>80</v>
      </c>
      <c r="F66" s="91">
        <f t="shared" si="0"/>
        <v>0</v>
      </c>
      <c r="G66" s="92">
        <f t="shared" si="1"/>
        <v>0.1633</v>
      </c>
      <c r="H66" s="91">
        <f t="shared" si="2"/>
        <v>0</v>
      </c>
      <c r="I66" s="89">
        <v>0</v>
      </c>
      <c r="J66" s="91">
        <v>0</v>
      </c>
      <c r="K66" s="91">
        <f t="shared" si="3"/>
        <v>0</v>
      </c>
      <c r="L66" s="91">
        <f t="shared" si="4"/>
        <v>0</v>
      </c>
      <c r="M66" s="93">
        <f t="shared" si="6"/>
        <v>0.7</v>
      </c>
      <c r="N66" s="94">
        <f t="shared" si="5"/>
        <v>0</v>
      </c>
      <c r="O66" s="95"/>
    </row>
    <row r="67" spans="1:15" ht="19.5" hidden="1" customHeight="1">
      <c r="A67" s="86" t="s">
        <v>114</v>
      </c>
      <c r="B67" s="119" t="s">
        <v>115</v>
      </c>
      <c r="C67" s="129" t="s">
        <v>42</v>
      </c>
      <c r="D67" s="89">
        <v>0</v>
      </c>
      <c r="E67" s="130">
        <v>150</v>
      </c>
      <c r="F67" s="91">
        <f t="shared" si="0"/>
        <v>0</v>
      </c>
      <c r="G67" s="92">
        <f t="shared" si="1"/>
        <v>0.1633</v>
      </c>
      <c r="H67" s="91">
        <f t="shared" si="2"/>
        <v>0</v>
      </c>
      <c r="I67" s="89">
        <v>0</v>
      </c>
      <c r="J67" s="91">
        <v>0</v>
      </c>
      <c r="K67" s="91">
        <f t="shared" si="3"/>
        <v>0</v>
      </c>
      <c r="L67" s="91">
        <f t="shared" si="4"/>
        <v>0</v>
      </c>
      <c r="M67" s="93">
        <f t="shared" si="6"/>
        <v>0.7</v>
      </c>
      <c r="N67" s="94">
        <f t="shared" si="5"/>
        <v>0</v>
      </c>
      <c r="O67" s="95"/>
    </row>
    <row r="68" spans="1:15" ht="19.5" hidden="1" customHeight="1">
      <c r="A68" s="86" t="s">
        <v>116</v>
      </c>
      <c r="B68" s="119" t="s">
        <v>117</v>
      </c>
      <c r="C68" s="88" t="s">
        <v>70</v>
      </c>
      <c r="D68" s="89">
        <v>0</v>
      </c>
      <c r="E68" s="90">
        <v>25</v>
      </c>
      <c r="F68" s="91">
        <f t="shared" si="0"/>
        <v>0</v>
      </c>
      <c r="G68" s="92">
        <f t="shared" si="1"/>
        <v>0.1633</v>
      </c>
      <c r="H68" s="91">
        <f t="shared" si="2"/>
        <v>0</v>
      </c>
      <c r="I68" s="89">
        <v>0</v>
      </c>
      <c r="J68" s="91">
        <v>0</v>
      </c>
      <c r="K68" s="91">
        <f t="shared" si="3"/>
        <v>0</v>
      </c>
      <c r="L68" s="91">
        <f t="shared" si="4"/>
        <v>0</v>
      </c>
      <c r="M68" s="93">
        <f t="shared" si="6"/>
        <v>0.7</v>
      </c>
      <c r="N68" s="94">
        <f t="shared" si="5"/>
        <v>0</v>
      </c>
      <c r="O68" s="95"/>
    </row>
    <row r="69" spans="1:15" ht="19.5" hidden="1" customHeight="1">
      <c r="A69" s="86" t="s">
        <v>116</v>
      </c>
      <c r="B69" s="128" t="s">
        <v>118</v>
      </c>
      <c r="C69" s="129" t="s">
        <v>70</v>
      </c>
      <c r="D69" s="89">
        <v>0</v>
      </c>
      <c r="E69" s="130">
        <v>50</v>
      </c>
      <c r="F69" s="91">
        <f t="shared" si="0"/>
        <v>0</v>
      </c>
      <c r="G69" s="92">
        <f t="shared" si="1"/>
        <v>0.1633</v>
      </c>
      <c r="H69" s="91">
        <f t="shared" si="2"/>
        <v>0</v>
      </c>
      <c r="I69" s="89">
        <v>0</v>
      </c>
      <c r="J69" s="91">
        <v>0</v>
      </c>
      <c r="K69" s="91">
        <f t="shared" si="3"/>
        <v>0</v>
      </c>
      <c r="L69" s="91">
        <f t="shared" si="4"/>
        <v>0</v>
      </c>
      <c r="M69" s="93">
        <f t="shared" si="6"/>
        <v>0.7</v>
      </c>
      <c r="N69" s="94">
        <f t="shared" si="5"/>
        <v>0</v>
      </c>
      <c r="O69" s="95"/>
    </row>
    <row r="70" spans="1:15" ht="19.5" hidden="1" customHeight="1">
      <c r="A70" s="86" t="s">
        <v>116</v>
      </c>
      <c r="B70" s="128" t="s">
        <v>119</v>
      </c>
      <c r="C70" s="129" t="s">
        <v>42</v>
      </c>
      <c r="D70" s="89">
        <v>0</v>
      </c>
      <c r="E70" s="130">
        <v>15</v>
      </c>
      <c r="F70" s="91">
        <f t="shared" si="0"/>
        <v>0</v>
      </c>
      <c r="G70" s="92">
        <f t="shared" si="1"/>
        <v>0.1633</v>
      </c>
      <c r="H70" s="91">
        <f t="shared" si="2"/>
        <v>0</v>
      </c>
      <c r="I70" s="89">
        <v>0</v>
      </c>
      <c r="J70" s="91">
        <v>0</v>
      </c>
      <c r="K70" s="91">
        <f t="shared" si="3"/>
        <v>0</v>
      </c>
      <c r="L70" s="91">
        <f t="shared" si="4"/>
        <v>0</v>
      </c>
      <c r="M70" s="93">
        <f t="shared" si="6"/>
        <v>0.7</v>
      </c>
      <c r="N70" s="94">
        <f t="shared" si="5"/>
        <v>0</v>
      </c>
      <c r="O70" s="95"/>
    </row>
    <row r="71" spans="1:15" ht="19.5" hidden="1" customHeight="1">
      <c r="A71" s="86" t="s">
        <v>116</v>
      </c>
      <c r="B71" s="128" t="s">
        <v>120</v>
      </c>
      <c r="C71" s="129" t="s">
        <v>39</v>
      </c>
      <c r="D71" s="89">
        <v>0</v>
      </c>
      <c r="E71" s="130">
        <v>85</v>
      </c>
      <c r="F71" s="91">
        <f t="shared" si="0"/>
        <v>0</v>
      </c>
      <c r="G71" s="92">
        <f t="shared" si="1"/>
        <v>0.1633</v>
      </c>
      <c r="H71" s="91">
        <f t="shared" si="2"/>
        <v>0</v>
      </c>
      <c r="I71" s="89">
        <v>0</v>
      </c>
      <c r="J71" s="91">
        <v>0</v>
      </c>
      <c r="K71" s="91">
        <f t="shared" si="3"/>
        <v>0</v>
      </c>
      <c r="L71" s="91">
        <f t="shared" si="4"/>
        <v>0</v>
      </c>
      <c r="M71" s="93">
        <f t="shared" si="6"/>
        <v>0.7</v>
      </c>
      <c r="N71" s="94">
        <f t="shared" si="5"/>
        <v>0</v>
      </c>
      <c r="O71" s="95"/>
    </row>
    <row r="72" spans="1:15" ht="19.5" hidden="1" customHeight="1">
      <c r="A72" s="86" t="s">
        <v>116</v>
      </c>
      <c r="B72" s="128" t="s">
        <v>121</v>
      </c>
      <c r="C72" s="88" t="s">
        <v>70</v>
      </c>
      <c r="D72" s="89">
        <v>0</v>
      </c>
      <c r="E72" s="130">
        <v>40</v>
      </c>
      <c r="F72" s="91">
        <f t="shared" si="0"/>
        <v>0</v>
      </c>
      <c r="G72" s="92">
        <f t="shared" si="1"/>
        <v>0.1633</v>
      </c>
      <c r="H72" s="91">
        <f t="shared" si="2"/>
        <v>0</v>
      </c>
      <c r="I72" s="89">
        <v>0</v>
      </c>
      <c r="J72" s="91">
        <v>0</v>
      </c>
      <c r="K72" s="91">
        <f t="shared" si="3"/>
        <v>0</v>
      </c>
      <c r="L72" s="91">
        <f t="shared" si="4"/>
        <v>0</v>
      </c>
      <c r="M72" s="93">
        <f t="shared" si="6"/>
        <v>0.7</v>
      </c>
      <c r="N72" s="94">
        <f t="shared" si="5"/>
        <v>0</v>
      </c>
      <c r="O72" s="95"/>
    </row>
    <row r="73" spans="1:15" ht="19.5" hidden="1" customHeight="1">
      <c r="A73" s="86" t="s">
        <v>116</v>
      </c>
      <c r="B73" s="128" t="s">
        <v>122</v>
      </c>
      <c r="C73" s="129" t="s">
        <v>42</v>
      </c>
      <c r="D73" s="89">
        <v>0</v>
      </c>
      <c r="E73" s="130">
        <v>100</v>
      </c>
      <c r="F73" s="91">
        <f t="shared" si="0"/>
        <v>0</v>
      </c>
      <c r="G73" s="92">
        <f t="shared" si="1"/>
        <v>0.1633</v>
      </c>
      <c r="H73" s="91">
        <f t="shared" si="2"/>
        <v>0</v>
      </c>
      <c r="I73" s="89">
        <v>0</v>
      </c>
      <c r="J73" s="91">
        <v>0</v>
      </c>
      <c r="K73" s="91">
        <f t="shared" si="3"/>
        <v>0</v>
      </c>
      <c r="L73" s="91">
        <f t="shared" si="4"/>
        <v>0</v>
      </c>
      <c r="M73" s="93">
        <f t="shared" si="6"/>
        <v>0.7</v>
      </c>
      <c r="N73" s="94">
        <f t="shared" si="5"/>
        <v>0</v>
      </c>
      <c r="O73" s="95"/>
    </row>
    <row r="74" spans="1:15" ht="19.5" hidden="1" customHeight="1">
      <c r="A74" s="86" t="s">
        <v>116</v>
      </c>
      <c r="B74" s="128" t="s">
        <v>123</v>
      </c>
      <c r="C74" s="129" t="s">
        <v>42</v>
      </c>
      <c r="D74" s="89">
        <v>0</v>
      </c>
      <c r="E74" s="130">
        <v>120</v>
      </c>
      <c r="F74" s="91">
        <f t="shared" si="0"/>
        <v>0</v>
      </c>
      <c r="G74" s="92">
        <f t="shared" si="1"/>
        <v>0.1633</v>
      </c>
      <c r="H74" s="91">
        <f t="shared" si="2"/>
        <v>0</v>
      </c>
      <c r="I74" s="89">
        <v>0</v>
      </c>
      <c r="J74" s="91">
        <v>0</v>
      </c>
      <c r="K74" s="91">
        <f t="shared" si="3"/>
        <v>0</v>
      </c>
      <c r="L74" s="91">
        <f t="shared" si="4"/>
        <v>0</v>
      </c>
      <c r="M74" s="93">
        <f t="shared" si="6"/>
        <v>0.7</v>
      </c>
      <c r="N74" s="94">
        <f t="shared" si="5"/>
        <v>0</v>
      </c>
      <c r="O74" s="95"/>
    </row>
    <row r="75" spans="1:15" ht="19.5" hidden="1" customHeight="1">
      <c r="A75" s="86" t="s">
        <v>116</v>
      </c>
      <c r="B75" s="128" t="s">
        <v>124</v>
      </c>
      <c r="C75" s="129" t="s">
        <v>39</v>
      </c>
      <c r="D75" s="89">
        <v>0</v>
      </c>
      <c r="E75" s="130">
        <v>200</v>
      </c>
      <c r="F75" s="91">
        <f t="shared" si="0"/>
        <v>0</v>
      </c>
      <c r="G75" s="92">
        <f t="shared" si="1"/>
        <v>0.1633</v>
      </c>
      <c r="H75" s="91">
        <f t="shared" si="2"/>
        <v>0</v>
      </c>
      <c r="I75" s="89">
        <v>0</v>
      </c>
      <c r="J75" s="91">
        <v>0</v>
      </c>
      <c r="K75" s="91">
        <f t="shared" si="3"/>
        <v>0</v>
      </c>
      <c r="L75" s="91">
        <f t="shared" si="4"/>
        <v>0</v>
      </c>
      <c r="M75" s="93">
        <f t="shared" si="6"/>
        <v>0.7</v>
      </c>
      <c r="N75" s="94">
        <f t="shared" si="5"/>
        <v>0</v>
      </c>
      <c r="O75" s="95"/>
    </row>
    <row r="76" spans="1:15" ht="19.5" hidden="1" customHeight="1">
      <c r="A76" s="86" t="s">
        <v>116</v>
      </c>
      <c r="B76" s="128" t="s">
        <v>125</v>
      </c>
      <c r="C76" s="129" t="s">
        <v>39</v>
      </c>
      <c r="D76" s="89">
        <v>0</v>
      </c>
      <c r="E76" s="130">
        <v>90</v>
      </c>
      <c r="F76" s="91">
        <f t="shared" si="0"/>
        <v>0</v>
      </c>
      <c r="G76" s="92">
        <f t="shared" si="1"/>
        <v>0.1633</v>
      </c>
      <c r="H76" s="91">
        <f t="shared" si="2"/>
        <v>0</v>
      </c>
      <c r="I76" s="89">
        <v>0</v>
      </c>
      <c r="J76" s="91">
        <v>0</v>
      </c>
      <c r="K76" s="91">
        <f t="shared" si="3"/>
        <v>0</v>
      </c>
      <c r="L76" s="91">
        <f t="shared" si="4"/>
        <v>0</v>
      </c>
      <c r="M76" s="93">
        <f t="shared" si="6"/>
        <v>0.7</v>
      </c>
      <c r="N76" s="94">
        <f t="shared" si="5"/>
        <v>0</v>
      </c>
      <c r="O76" s="95"/>
    </row>
    <row r="77" spans="1:15" ht="19.5" hidden="1" customHeight="1">
      <c r="A77" s="86" t="s">
        <v>116</v>
      </c>
      <c r="B77" s="128" t="s">
        <v>126</v>
      </c>
      <c r="C77" s="129" t="s">
        <v>39</v>
      </c>
      <c r="D77" s="89">
        <v>0</v>
      </c>
      <c r="E77" s="130">
        <v>70</v>
      </c>
      <c r="F77" s="91">
        <f t="shared" si="0"/>
        <v>0</v>
      </c>
      <c r="G77" s="92">
        <f t="shared" si="1"/>
        <v>0.1633</v>
      </c>
      <c r="H77" s="91">
        <f t="shared" si="2"/>
        <v>0</v>
      </c>
      <c r="I77" s="89">
        <v>0</v>
      </c>
      <c r="J77" s="91">
        <v>0</v>
      </c>
      <c r="K77" s="91">
        <f t="shared" si="3"/>
        <v>0</v>
      </c>
      <c r="L77" s="91">
        <f t="shared" si="4"/>
        <v>0</v>
      </c>
      <c r="M77" s="93">
        <f t="shared" si="6"/>
        <v>0.7</v>
      </c>
      <c r="N77" s="94">
        <f t="shared" si="5"/>
        <v>0</v>
      </c>
      <c r="O77" s="95"/>
    </row>
    <row r="78" spans="1:15" ht="19.5" hidden="1" customHeight="1">
      <c r="A78" s="86" t="s">
        <v>116</v>
      </c>
      <c r="B78" s="128" t="s">
        <v>127</v>
      </c>
      <c r="C78" s="129" t="s">
        <v>39</v>
      </c>
      <c r="D78" s="89">
        <v>0</v>
      </c>
      <c r="E78" s="90">
        <v>130</v>
      </c>
      <c r="F78" s="91">
        <f t="shared" si="0"/>
        <v>0</v>
      </c>
      <c r="G78" s="92">
        <f t="shared" si="1"/>
        <v>0.1633</v>
      </c>
      <c r="H78" s="91">
        <f t="shared" si="2"/>
        <v>0</v>
      </c>
      <c r="I78" s="89">
        <v>0</v>
      </c>
      <c r="J78" s="91">
        <v>0</v>
      </c>
      <c r="K78" s="91">
        <f t="shared" si="3"/>
        <v>0</v>
      </c>
      <c r="L78" s="91">
        <f t="shared" si="4"/>
        <v>0</v>
      </c>
      <c r="M78" s="93">
        <f t="shared" si="6"/>
        <v>0.7</v>
      </c>
      <c r="N78" s="94">
        <f t="shared" si="5"/>
        <v>0</v>
      </c>
      <c r="O78" s="95"/>
    </row>
    <row r="79" spans="1:15" ht="19.5" hidden="1" customHeight="1">
      <c r="A79" s="86" t="s">
        <v>116</v>
      </c>
      <c r="B79" s="128" t="s">
        <v>128</v>
      </c>
      <c r="C79" s="129" t="s">
        <v>39</v>
      </c>
      <c r="D79" s="89">
        <v>0</v>
      </c>
      <c r="E79" s="90">
        <v>90</v>
      </c>
      <c r="F79" s="91">
        <f t="shared" si="0"/>
        <v>0</v>
      </c>
      <c r="G79" s="92">
        <f t="shared" si="1"/>
        <v>0.1633</v>
      </c>
      <c r="H79" s="91">
        <f t="shared" si="2"/>
        <v>0</v>
      </c>
      <c r="I79" s="89">
        <v>0</v>
      </c>
      <c r="J79" s="91">
        <v>0</v>
      </c>
      <c r="K79" s="91">
        <f t="shared" si="3"/>
        <v>0</v>
      </c>
      <c r="L79" s="91">
        <f t="shared" si="4"/>
        <v>0</v>
      </c>
      <c r="M79" s="93">
        <f t="shared" si="6"/>
        <v>0.7</v>
      </c>
      <c r="N79" s="94">
        <f t="shared" si="5"/>
        <v>0</v>
      </c>
      <c r="O79" s="95"/>
    </row>
    <row r="80" spans="1:15" ht="19.5" hidden="1" customHeight="1">
      <c r="A80" s="86" t="s">
        <v>116</v>
      </c>
      <c r="B80" s="128" t="s">
        <v>129</v>
      </c>
      <c r="C80" s="129" t="s">
        <v>70</v>
      </c>
      <c r="D80" s="89">
        <v>0</v>
      </c>
      <c r="E80" s="90">
        <v>90</v>
      </c>
      <c r="F80" s="91">
        <f t="shared" si="0"/>
        <v>0</v>
      </c>
      <c r="G80" s="92">
        <f t="shared" si="1"/>
        <v>0.1633</v>
      </c>
      <c r="H80" s="91">
        <f t="shared" si="2"/>
        <v>0</v>
      </c>
      <c r="I80" s="89">
        <v>0</v>
      </c>
      <c r="J80" s="91">
        <v>0</v>
      </c>
      <c r="K80" s="91">
        <f t="shared" si="3"/>
        <v>0</v>
      </c>
      <c r="L80" s="91">
        <f t="shared" si="4"/>
        <v>0</v>
      </c>
      <c r="M80" s="93">
        <f t="shared" si="6"/>
        <v>0.7</v>
      </c>
      <c r="N80" s="94">
        <f t="shared" si="5"/>
        <v>0</v>
      </c>
      <c r="O80" s="95"/>
    </row>
    <row r="81" spans="1:15" ht="19.5" hidden="1" customHeight="1">
      <c r="A81" s="86" t="s">
        <v>116</v>
      </c>
      <c r="B81" s="128" t="s">
        <v>130</v>
      </c>
      <c r="C81" s="129" t="s">
        <v>70</v>
      </c>
      <c r="D81" s="89">
        <v>0</v>
      </c>
      <c r="E81" s="90">
        <v>80</v>
      </c>
      <c r="F81" s="91">
        <f t="shared" si="0"/>
        <v>0</v>
      </c>
      <c r="G81" s="92">
        <f t="shared" si="1"/>
        <v>0.1633</v>
      </c>
      <c r="H81" s="91">
        <f t="shared" si="2"/>
        <v>0</v>
      </c>
      <c r="I81" s="89">
        <v>0</v>
      </c>
      <c r="J81" s="91">
        <v>0</v>
      </c>
      <c r="K81" s="91">
        <f t="shared" si="3"/>
        <v>0</v>
      </c>
      <c r="L81" s="91">
        <f t="shared" si="4"/>
        <v>0</v>
      </c>
      <c r="M81" s="93">
        <f t="shared" si="6"/>
        <v>0.7</v>
      </c>
      <c r="N81" s="94">
        <f t="shared" si="5"/>
        <v>0</v>
      </c>
      <c r="O81" s="95"/>
    </row>
    <row r="82" spans="1:15" ht="19.5" hidden="1" customHeight="1">
      <c r="A82" s="86" t="s">
        <v>116</v>
      </c>
      <c r="B82" s="128" t="s">
        <v>131</v>
      </c>
      <c r="C82" s="129" t="s">
        <v>42</v>
      </c>
      <c r="D82" s="89">
        <v>0</v>
      </c>
      <c r="E82" s="130">
        <v>40</v>
      </c>
      <c r="F82" s="91">
        <f t="shared" si="0"/>
        <v>0</v>
      </c>
      <c r="G82" s="92">
        <f t="shared" si="1"/>
        <v>0.1633</v>
      </c>
      <c r="H82" s="91">
        <f t="shared" si="2"/>
        <v>0</v>
      </c>
      <c r="I82" s="89">
        <v>0</v>
      </c>
      <c r="J82" s="91">
        <v>0</v>
      </c>
      <c r="K82" s="91">
        <f t="shared" si="3"/>
        <v>0</v>
      </c>
      <c r="L82" s="91">
        <f t="shared" si="4"/>
        <v>0</v>
      </c>
      <c r="M82" s="93">
        <f t="shared" si="6"/>
        <v>0.7</v>
      </c>
      <c r="N82" s="94">
        <f t="shared" si="5"/>
        <v>0</v>
      </c>
      <c r="O82" s="95"/>
    </row>
    <row r="83" spans="1:15" ht="19.5" hidden="1" customHeight="1">
      <c r="A83" s="86" t="s">
        <v>116</v>
      </c>
      <c r="B83" s="128" t="s">
        <v>132</v>
      </c>
      <c r="C83" s="129" t="s">
        <v>70</v>
      </c>
      <c r="D83" s="89">
        <v>0</v>
      </c>
      <c r="E83" s="130">
        <v>10</v>
      </c>
      <c r="F83" s="91">
        <f t="shared" si="0"/>
        <v>0</v>
      </c>
      <c r="G83" s="92">
        <f t="shared" si="1"/>
        <v>0.1633</v>
      </c>
      <c r="H83" s="91">
        <f t="shared" si="2"/>
        <v>0</v>
      </c>
      <c r="I83" s="89">
        <v>0</v>
      </c>
      <c r="J83" s="91">
        <v>0</v>
      </c>
      <c r="K83" s="91">
        <f t="shared" si="3"/>
        <v>0</v>
      </c>
      <c r="L83" s="91">
        <f t="shared" si="4"/>
        <v>0</v>
      </c>
      <c r="M83" s="93">
        <f t="shared" si="6"/>
        <v>0.7</v>
      </c>
      <c r="N83" s="94">
        <f t="shared" si="5"/>
        <v>0</v>
      </c>
      <c r="O83" s="95"/>
    </row>
    <row r="84" spans="1:15" ht="19.5" hidden="1" customHeight="1">
      <c r="A84" s="86" t="s">
        <v>133</v>
      </c>
      <c r="B84" s="119" t="s">
        <v>134</v>
      </c>
      <c r="C84" s="88" t="s">
        <v>39</v>
      </c>
      <c r="D84" s="89">
        <v>0</v>
      </c>
      <c r="E84" s="90">
        <v>50</v>
      </c>
      <c r="F84" s="91">
        <f t="shared" si="0"/>
        <v>0</v>
      </c>
      <c r="G84" s="92">
        <f t="shared" si="1"/>
        <v>0.1633</v>
      </c>
      <c r="H84" s="91">
        <f t="shared" si="2"/>
        <v>0</v>
      </c>
      <c r="I84" s="89">
        <v>0</v>
      </c>
      <c r="J84" s="91">
        <v>0</v>
      </c>
      <c r="K84" s="91">
        <f t="shared" si="3"/>
        <v>0</v>
      </c>
      <c r="L84" s="91">
        <f t="shared" si="4"/>
        <v>0</v>
      </c>
      <c r="M84" s="93">
        <f t="shared" si="6"/>
        <v>0.7</v>
      </c>
      <c r="N84" s="94">
        <f t="shared" si="5"/>
        <v>0</v>
      </c>
      <c r="O84" s="95"/>
    </row>
    <row r="85" spans="1:15" ht="19.5" hidden="1" customHeight="1">
      <c r="A85" s="86" t="s">
        <v>133</v>
      </c>
      <c r="B85" s="119" t="s">
        <v>135</v>
      </c>
      <c r="C85" s="88" t="s">
        <v>39</v>
      </c>
      <c r="D85" s="89">
        <v>0</v>
      </c>
      <c r="E85" s="90">
        <v>20</v>
      </c>
      <c r="F85" s="91">
        <f t="shared" si="0"/>
        <v>0</v>
      </c>
      <c r="G85" s="92">
        <f t="shared" si="1"/>
        <v>0.1633</v>
      </c>
      <c r="H85" s="91">
        <f t="shared" si="2"/>
        <v>0</v>
      </c>
      <c r="I85" s="89">
        <v>0</v>
      </c>
      <c r="J85" s="91">
        <v>0</v>
      </c>
      <c r="K85" s="91">
        <f t="shared" si="3"/>
        <v>0</v>
      </c>
      <c r="L85" s="91">
        <f t="shared" si="4"/>
        <v>0</v>
      </c>
      <c r="M85" s="93">
        <f t="shared" si="6"/>
        <v>0.7</v>
      </c>
      <c r="N85" s="94">
        <f t="shared" si="5"/>
        <v>0</v>
      </c>
      <c r="O85" s="95"/>
    </row>
    <row r="86" spans="1:15" ht="19.5" hidden="1" customHeight="1">
      <c r="A86" s="86" t="s">
        <v>133</v>
      </c>
      <c r="B86" s="119" t="s">
        <v>136</v>
      </c>
      <c r="C86" s="88" t="s">
        <v>42</v>
      </c>
      <c r="D86" s="89">
        <v>0</v>
      </c>
      <c r="E86" s="90">
        <v>60</v>
      </c>
      <c r="F86" s="91">
        <f t="shared" si="0"/>
        <v>0</v>
      </c>
      <c r="G86" s="92">
        <f t="shared" si="1"/>
        <v>0.1633</v>
      </c>
      <c r="H86" s="91">
        <f t="shared" si="2"/>
        <v>0</v>
      </c>
      <c r="I86" s="89">
        <v>0</v>
      </c>
      <c r="J86" s="91">
        <v>0</v>
      </c>
      <c r="K86" s="91">
        <f t="shared" si="3"/>
        <v>0</v>
      </c>
      <c r="L86" s="91">
        <f t="shared" si="4"/>
        <v>0</v>
      </c>
      <c r="M86" s="93">
        <f t="shared" si="6"/>
        <v>0.7</v>
      </c>
      <c r="N86" s="94">
        <f t="shared" si="5"/>
        <v>0</v>
      </c>
      <c r="O86" s="95"/>
    </row>
    <row r="87" spans="1:15" ht="19.5" hidden="1" customHeight="1">
      <c r="A87" s="86" t="s">
        <v>133</v>
      </c>
      <c r="B87" s="119" t="s">
        <v>137</v>
      </c>
      <c r="C87" s="88" t="s">
        <v>39</v>
      </c>
      <c r="D87" s="89">
        <v>0</v>
      </c>
      <c r="E87" s="90">
        <v>15</v>
      </c>
      <c r="F87" s="91">
        <f t="shared" si="0"/>
        <v>0</v>
      </c>
      <c r="G87" s="92">
        <f t="shared" si="1"/>
        <v>0.1633</v>
      </c>
      <c r="H87" s="91">
        <f t="shared" si="2"/>
        <v>0</v>
      </c>
      <c r="I87" s="89">
        <v>0</v>
      </c>
      <c r="J87" s="91">
        <v>0</v>
      </c>
      <c r="K87" s="91">
        <f t="shared" si="3"/>
        <v>0</v>
      </c>
      <c r="L87" s="91">
        <f t="shared" si="4"/>
        <v>0</v>
      </c>
      <c r="M87" s="93">
        <f t="shared" si="6"/>
        <v>0.7</v>
      </c>
      <c r="N87" s="94">
        <f t="shared" si="5"/>
        <v>0</v>
      </c>
      <c r="O87" s="95"/>
    </row>
    <row r="88" spans="1:15" ht="19.5" hidden="1" customHeight="1">
      <c r="A88" s="86" t="s">
        <v>133</v>
      </c>
      <c r="B88" s="119" t="s">
        <v>138</v>
      </c>
      <c r="C88" s="88" t="s">
        <v>39</v>
      </c>
      <c r="D88" s="89">
        <v>0</v>
      </c>
      <c r="E88" s="90">
        <v>48</v>
      </c>
      <c r="F88" s="91">
        <f t="shared" si="0"/>
        <v>0</v>
      </c>
      <c r="G88" s="92">
        <f t="shared" si="1"/>
        <v>0.1633</v>
      </c>
      <c r="H88" s="91">
        <f t="shared" si="2"/>
        <v>0</v>
      </c>
      <c r="I88" s="89">
        <v>0</v>
      </c>
      <c r="J88" s="91">
        <v>0</v>
      </c>
      <c r="K88" s="91">
        <f t="shared" si="3"/>
        <v>0</v>
      </c>
      <c r="L88" s="91">
        <f t="shared" si="4"/>
        <v>0</v>
      </c>
      <c r="M88" s="93">
        <f t="shared" si="6"/>
        <v>0.7</v>
      </c>
      <c r="N88" s="94">
        <f t="shared" si="5"/>
        <v>0</v>
      </c>
      <c r="O88" s="95"/>
    </row>
    <row r="89" spans="1:15" ht="19.5" hidden="1" customHeight="1">
      <c r="A89" s="86" t="s">
        <v>133</v>
      </c>
      <c r="B89" s="119" t="s">
        <v>139</v>
      </c>
      <c r="C89" s="88" t="s">
        <v>39</v>
      </c>
      <c r="D89" s="89">
        <v>0</v>
      </c>
      <c r="E89" s="90">
        <v>55</v>
      </c>
      <c r="F89" s="91">
        <f t="shared" si="0"/>
        <v>0</v>
      </c>
      <c r="G89" s="92">
        <f t="shared" si="1"/>
        <v>0.1633</v>
      </c>
      <c r="H89" s="91">
        <f t="shared" si="2"/>
        <v>0</v>
      </c>
      <c r="I89" s="89">
        <v>0</v>
      </c>
      <c r="J89" s="91">
        <v>0</v>
      </c>
      <c r="K89" s="91">
        <f t="shared" si="3"/>
        <v>0</v>
      </c>
      <c r="L89" s="91">
        <f t="shared" si="4"/>
        <v>0</v>
      </c>
      <c r="M89" s="93">
        <f t="shared" si="6"/>
        <v>0.7</v>
      </c>
      <c r="N89" s="94">
        <f t="shared" si="5"/>
        <v>0</v>
      </c>
      <c r="O89" s="95"/>
    </row>
    <row r="90" spans="1:15" ht="19.5" hidden="1" customHeight="1">
      <c r="A90" s="86" t="s">
        <v>133</v>
      </c>
      <c r="B90" s="128" t="s">
        <v>140</v>
      </c>
      <c r="C90" s="88" t="s">
        <v>70</v>
      </c>
      <c r="D90" s="89">
        <v>0</v>
      </c>
      <c r="E90" s="90">
        <v>10</v>
      </c>
      <c r="F90" s="91">
        <f t="shared" si="0"/>
        <v>0</v>
      </c>
      <c r="G90" s="92">
        <f t="shared" si="1"/>
        <v>0.1633</v>
      </c>
      <c r="H90" s="91">
        <f t="shared" si="2"/>
        <v>0</v>
      </c>
      <c r="I90" s="89">
        <v>0</v>
      </c>
      <c r="J90" s="91">
        <v>0</v>
      </c>
      <c r="K90" s="91">
        <f t="shared" si="3"/>
        <v>0</v>
      </c>
      <c r="L90" s="91">
        <f t="shared" si="4"/>
        <v>0</v>
      </c>
      <c r="M90" s="93">
        <f t="shared" si="6"/>
        <v>0.7</v>
      </c>
      <c r="N90" s="94">
        <f t="shared" si="5"/>
        <v>0</v>
      </c>
      <c r="O90" s="95"/>
    </row>
    <row r="91" spans="1:15" ht="19.5" hidden="1" customHeight="1">
      <c r="A91" s="86" t="s">
        <v>133</v>
      </c>
      <c r="B91" s="128" t="s">
        <v>141</v>
      </c>
      <c r="C91" s="88" t="s">
        <v>39</v>
      </c>
      <c r="D91" s="89">
        <v>0</v>
      </c>
      <c r="E91" s="90">
        <v>15</v>
      </c>
      <c r="F91" s="91">
        <f t="shared" si="0"/>
        <v>0</v>
      </c>
      <c r="G91" s="92">
        <f t="shared" si="1"/>
        <v>0.1633</v>
      </c>
      <c r="H91" s="91">
        <f t="shared" si="2"/>
        <v>0</v>
      </c>
      <c r="I91" s="89">
        <v>0</v>
      </c>
      <c r="J91" s="91">
        <v>0</v>
      </c>
      <c r="K91" s="91">
        <f t="shared" si="3"/>
        <v>0</v>
      </c>
      <c r="L91" s="91">
        <f t="shared" si="4"/>
        <v>0</v>
      </c>
      <c r="M91" s="93">
        <f t="shared" si="6"/>
        <v>0.7</v>
      </c>
      <c r="N91" s="94">
        <f t="shared" si="5"/>
        <v>0</v>
      </c>
      <c r="O91" s="95"/>
    </row>
    <row r="92" spans="1:15" ht="19.5" hidden="1" customHeight="1">
      <c r="A92" s="86" t="s">
        <v>133</v>
      </c>
      <c r="B92" s="119" t="s">
        <v>142</v>
      </c>
      <c r="C92" s="88" t="s">
        <v>42</v>
      </c>
      <c r="D92" s="89">
        <v>0</v>
      </c>
      <c r="E92" s="90">
        <v>60</v>
      </c>
      <c r="F92" s="91">
        <f t="shared" si="0"/>
        <v>0</v>
      </c>
      <c r="G92" s="92">
        <f t="shared" si="1"/>
        <v>0.1633</v>
      </c>
      <c r="H92" s="91">
        <f t="shared" si="2"/>
        <v>0</v>
      </c>
      <c r="I92" s="89">
        <v>0</v>
      </c>
      <c r="J92" s="91">
        <v>0</v>
      </c>
      <c r="K92" s="91">
        <f t="shared" si="3"/>
        <v>0</v>
      </c>
      <c r="L92" s="91">
        <f t="shared" si="4"/>
        <v>0</v>
      </c>
      <c r="M92" s="93">
        <f t="shared" si="6"/>
        <v>0.7</v>
      </c>
      <c r="N92" s="94">
        <f t="shared" si="5"/>
        <v>0</v>
      </c>
      <c r="O92" s="95"/>
    </row>
    <row r="93" spans="1:15" ht="19.5" hidden="1" customHeight="1">
      <c r="A93" s="86" t="s">
        <v>133</v>
      </c>
      <c r="B93" s="119" t="s">
        <v>143</v>
      </c>
      <c r="C93" s="88" t="s">
        <v>42</v>
      </c>
      <c r="D93" s="89">
        <v>0</v>
      </c>
      <c r="E93" s="90">
        <v>120</v>
      </c>
      <c r="F93" s="91">
        <f t="shared" si="0"/>
        <v>0</v>
      </c>
      <c r="G93" s="92">
        <f t="shared" si="1"/>
        <v>0.1633</v>
      </c>
      <c r="H93" s="91">
        <f t="shared" si="2"/>
        <v>0</v>
      </c>
      <c r="I93" s="89">
        <v>0</v>
      </c>
      <c r="J93" s="91">
        <v>0</v>
      </c>
      <c r="K93" s="91">
        <f t="shared" si="3"/>
        <v>0</v>
      </c>
      <c r="L93" s="91">
        <f t="shared" si="4"/>
        <v>0</v>
      </c>
      <c r="M93" s="93">
        <f t="shared" si="6"/>
        <v>0.7</v>
      </c>
      <c r="N93" s="94">
        <f t="shared" si="5"/>
        <v>0</v>
      </c>
      <c r="O93" s="95"/>
    </row>
    <row r="94" spans="1:15" ht="19.5" hidden="1" customHeight="1">
      <c r="A94" s="86" t="s">
        <v>133</v>
      </c>
      <c r="B94" s="119" t="s">
        <v>144</v>
      </c>
      <c r="C94" s="88" t="s">
        <v>39</v>
      </c>
      <c r="D94" s="89">
        <v>0</v>
      </c>
      <c r="E94" s="90">
        <v>150</v>
      </c>
      <c r="F94" s="91">
        <f t="shared" si="0"/>
        <v>0</v>
      </c>
      <c r="G94" s="92">
        <f t="shared" si="1"/>
        <v>0.1633</v>
      </c>
      <c r="H94" s="91">
        <f t="shared" si="2"/>
        <v>0</v>
      </c>
      <c r="I94" s="89">
        <v>0</v>
      </c>
      <c r="J94" s="91">
        <v>0</v>
      </c>
      <c r="K94" s="91">
        <f t="shared" si="3"/>
        <v>0</v>
      </c>
      <c r="L94" s="91">
        <f t="shared" si="4"/>
        <v>0</v>
      </c>
      <c r="M94" s="93">
        <f t="shared" si="6"/>
        <v>0.7</v>
      </c>
      <c r="N94" s="94">
        <f t="shared" si="5"/>
        <v>0</v>
      </c>
      <c r="O94" s="95"/>
    </row>
    <row r="95" spans="1:15" ht="19.5" hidden="1" customHeight="1">
      <c r="A95" s="86" t="s">
        <v>133</v>
      </c>
      <c r="B95" s="119" t="s">
        <v>145</v>
      </c>
      <c r="C95" s="88" t="s">
        <v>39</v>
      </c>
      <c r="D95" s="89">
        <v>0</v>
      </c>
      <c r="E95" s="90">
        <v>55</v>
      </c>
      <c r="F95" s="91">
        <f t="shared" si="0"/>
        <v>0</v>
      </c>
      <c r="G95" s="92">
        <f t="shared" si="1"/>
        <v>0.1633</v>
      </c>
      <c r="H95" s="91">
        <f t="shared" si="2"/>
        <v>0</v>
      </c>
      <c r="I95" s="89">
        <v>0</v>
      </c>
      <c r="J95" s="91">
        <v>0</v>
      </c>
      <c r="K95" s="91">
        <f t="shared" si="3"/>
        <v>0</v>
      </c>
      <c r="L95" s="91">
        <f t="shared" si="4"/>
        <v>0</v>
      </c>
      <c r="M95" s="93">
        <f t="shared" si="6"/>
        <v>0.7</v>
      </c>
      <c r="N95" s="94">
        <f t="shared" si="5"/>
        <v>0</v>
      </c>
      <c r="O95" s="95"/>
    </row>
    <row r="96" spans="1:15" ht="19.5" customHeight="1">
      <c r="A96" s="86" t="s">
        <v>133</v>
      </c>
      <c r="B96" s="119" t="s">
        <v>146</v>
      </c>
      <c r="C96" s="88" t="s">
        <v>39</v>
      </c>
      <c r="D96" s="89">
        <f>1.21+0.72+0.52+1.48*0.6</f>
        <v>3.3380000000000001</v>
      </c>
      <c r="E96" s="90">
        <v>150</v>
      </c>
      <c r="F96" s="91">
        <f t="shared" si="0"/>
        <v>500.7</v>
      </c>
      <c r="G96" s="92">
        <f t="shared" si="1"/>
        <v>0.1633</v>
      </c>
      <c r="H96" s="91">
        <f t="shared" si="2"/>
        <v>582.46430999999995</v>
      </c>
      <c r="I96" s="89">
        <v>3.33</v>
      </c>
      <c r="J96" s="91">
        <v>100</v>
      </c>
      <c r="K96" s="91">
        <f t="shared" si="3"/>
        <v>333</v>
      </c>
      <c r="L96" s="91">
        <f t="shared" si="4"/>
        <v>657.18932699999982</v>
      </c>
      <c r="M96" s="93">
        <f t="shared" si="6"/>
        <v>0.7</v>
      </c>
      <c r="N96" s="94">
        <f t="shared" si="5"/>
        <v>990.18932699999982</v>
      </c>
      <c r="O96" s="95">
        <f t="shared" ref="O96:O98" si="9">L96*1/N96</f>
        <v>0.66370067731501603</v>
      </c>
    </row>
    <row r="97" spans="1:20" ht="19.5" customHeight="1">
      <c r="A97" s="86" t="s">
        <v>147</v>
      </c>
      <c r="B97" s="119" t="s">
        <v>148</v>
      </c>
      <c r="C97" s="88" t="s">
        <v>39</v>
      </c>
      <c r="D97" s="89">
        <f t="shared" ref="D97:D98" si="10">11.1+9.96+5.27</f>
        <v>26.330000000000002</v>
      </c>
      <c r="E97" s="90">
        <v>110</v>
      </c>
      <c r="F97" s="91">
        <f t="shared" si="0"/>
        <v>2896.3</v>
      </c>
      <c r="G97" s="92">
        <f t="shared" si="1"/>
        <v>0.1633</v>
      </c>
      <c r="H97" s="91">
        <f t="shared" si="2"/>
        <v>3369.2657900000004</v>
      </c>
      <c r="I97" s="89">
        <v>1</v>
      </c>
      <c r="J97" s="131">
        <v>4183.33</v>
      </c>
      <c r="K97" s="131">
        <v>4018</v>
      </c>
      <c r="L97" s="91">
        <f t="shared" si="4"/>
        <v>2009.751843</v>
      </c>
      <c r="M97" s="93">
        <f t="shared" si="6"/>
        <v>0.7</v>
      </c>
      <c r="N97" s="94">
        <f>H97*M97+H97+300</f>
        <v>6027.751843</v>
      </c>
      <c r="O97" s="132">
        <f t="shared" si="9"/>
        <v>0.33341648683396208</v>
      </c>
    </row>
    <row r="98" spans="1:20" ht="19.5" customHeight="1">
      <c r="A98" s="86" t="s">
        <v>147</v>
      </c>
      <c r="B98" s="119" t="s">
        <v>149</v>
      </c>
      <c r="C98" s="88" t="s">
        <v>39</v>
      </c>
      <c r="D98" s="89">
        <f t="shared" si="10"/>
        <v>26.330000000000002</v>
      </c>
      <c r="E98" s="90">
        <v>35</v>
      </c>
      <c r="F98" s="91">
        <f t="shared" si="0"/>
        <v>921.55000000000007</v>
      </c>
      <c r="G98" s="92">
        <f t="shared" si="1"/>
        <v>0.1633</v>
      </c>
      <c r="H98" s="91">
        <f t="shared" si="2"/>
        <v>1072.039115</v>
      </c>
      <c r="I98" s="89">
        <v>1</v>
      </c>
      <c r="J98" s="91">
        <v>1200</v>
      </c>
      <c r="K98" s="91">
        <f t="shared" ref="K98:K121" si="11">I98*J98</f>
        <v>1200</v>
      </c>
      <c r="L98" s="91">
        <f t="shared" si="4"/>
        <v>622.46649550000006</v>
      </c>
      <c r="M98" s="93">
        <f t="shared" si="6"/>
        <v>0.7</v>
      </c>
      <c r="N98" s="94">
        <f t="shared" ref="N98:N121" si="12">H98*M98+H98</f>
        <v>1822.4664955000001</v>
      </c>
      <c r="O98" s="132">
        <f t="shared" si="9"/>
        <v>0.34155168121717605</v>
      </c>
      <c r="R98" s="133" t="s">
        <v>150</v>
      </c>
      <c r="S98" s="133" t="s">
        <v>151</v>
      </c>
      <c r="T98" s="133" t="s">
        <v>152</v>
      </c>
    </row>
    <row r="99" spans="1:20" ht="19.5" hidden="1" customHeight="1">
      <c r="A99" s="77" t="s">
        <v>147</v>
      </c>
      <c r="B99" s="106" t="s">
        <v>138</v>
      </c>
      <c r="C99" s="79" t="s">
        <v>39</v>
      </c>
      <c r="D99" s="80">
        <v>0</v>
      </c>
      <c r="E99" s="81">
        <v>65</v>
      </c>
      <c r="F99" s="82">
        <f t="shared" si="0"/>
        <v>0</v>
      </c>
      <c r="G99" s="83">
        <f t="shared" si="1"/>
        <v>0.1633</v>
      </c>
      <c r="H99" s="82">
        <f t="shared" si="2"/>
        <v>0</v>
      </c>
      <c r="I99" s="80">
        <v>0</v>
      </c>
      <c r="J99" s="82">
        <v>0</v>
      </c>
      <c r="K99" s="82">
        <f t="shared" si="11"/>
        <v>0</v>
      </c>
      <c r="L99" s="82">
        <f t="shared" si="4"/>
        <v>0</v>
      </c>
      <c r="M99" s="84">
        <f t="shared" si="6"/>
        <v>0.7</v>
      </c>
      <c r="N99" s="85">
        <f t="shared" si="12"/>
        <v>0</v>
      </c>
    </row>
    <row r="100" spans="1:20" ht="19.5" hidden="1" customHeight="1">
      <c r="A100" s="96" t="s">
        <v>147</v>
      </c>
      <c r="B100" s="108" t="s">
        <v>139</v>
      </c>
      <c r="C100" s="98" t="s">
        <v>39</v>
      </c>
      <c r="D100" s="99">
        <v>0</v>
      </c>
      <c r="E100" s="100">
        <v>60</v>
      </c>
      <c r="F100" s="101">
        <f t="shared" si="0"/>
        <v>0</v>
      </c>
      <c r="G100" s="102">
        <f t="shared" si="1"/>
        <v>0.1633</v>
      </c>
      <c r="H100" s="101">
        <f t="shared" si="2"/>
        <v>0</v>
      </c>
      <c r="I100" s="99">
        <v>0</v>
      </c>
      <c r="J100" s="101">
        <v>0</v>
      </c>
      <c r="K100" s="101">
        <f t="shared" si="11"/>
        <v>0</v>
      </c>
      <c r="L100" s="103">
        <f t="shared" si="4"/>
        <v>0</v>
      </c>
      <c r="M100" s="104">
        <f t="shared" si="6"/>
        <v>0.7</v>
      </c>
      <c r="N100" s="105">
        <f t="shared" si="12"/>
        <v>0</v>
      </c>
    </row>
    <row r="101" spans="1:20" ht="19.5" hidden="1" customHeight="1">
      <c r="A101" s="77" t="s">
        <v>147</v>
      </c>
      <c r="B101" s="106" t="s">
        <v>153</v>
      </c>
      <c r="C101" s="79" t="s">
        <v>39</v>
      </c>
      <c r="D101" s="80">
        <v>0</v>
      </c>
      <c r="E101" s="81">
        <v>80</v>
      </c>
      <c r="F101" s="82">
        <f t="shared" si="0"/>
        <v>0</v>
      </c>
      <c r="G101" s="83">
        <f t="shared" si="1"/>
        <v>0.1633</v>
      </c>
      <c r="H101" s="82">
        <f t="shared" si="2"/>
        <v>0</v>
      </c>
      <c r="I101" s="80">
        <v>0</v>
      </c>
      <c r="J101" s="82">
        <v>0</v>
      </c>
      <c r="K101" s="82">
        <f t="shared" si="11"/>
        <v>0</v>
      </c>
      <c r="L101" s="82">
        <f t="shared" si="4"/>
        <v>0</v>
      </c>
      <c r="M101" s="84">
        <f t="shared" si="6"/>
        <v>0.7</v>
      </c>
      <c r="N101" s="85">
        <f t="shared" si="12"/>
        <v>0</v>
      </c>
    </row>
    <row r="102" spans="1:20" ht="19.5" hidden="1" customHeight="1">
      <c r="A102" s="96" t="s">
        <v>147</v>
      </c>
      <c r="B102" s="108" t="s">
        <v>154</v>
      </c>
      <c r="C102" s="98" t="s">
        <v>39</v>
      </c>
      <c r="D102" s="99">
        <v>0</v>
      </c>
      <c r="E102" s="100">
        <v>15</v>
      </c>
      <c r="F102" s="101">
        <f t="shared" si="0"/>
        <v>0</v>
      </c>
      <c r="G102" s="102">
        <f t="shared" si="1"/>
        <v>0.1633</v>
      </c>
      <c r="H102" s="101">
        <f t="shared" si="2"/>
        <v>0</v>
      </c>
      <c r="I102" s="99">
        <v>0</v>
      </c>
      <c r="J102" s="101">
        <v>0</v>
      </c>
      <c r="K102" s="101">
        <f t="shared" si="11"/>
        <v>0</v>
      </c>
      <c r="L102" s="103">
        <f t="shared" si="4"/>
        <v>0</v>
      </c>
      <c r="M102" s="104">
        <f t="shared" si="6"/>
        <v>0.7</v>
      </c>
      <c r="N102" s="105">
        <f t="shared" si="12"/>
        <v>0</v>
      </c>
    </row>
    <row r="103" spans="1:20" ht="19.5" hidden="1" customHeight="1">
      <c r="A103" s="77" t="s">
        <v>155</v>
      </c>
      <c r="B103" s="106" t="s">
        <v>156</v>
      </c>
      <c r="C103" s="79" t="s">
        <v>39</v>
      </c>
      <c r="D103" s="80">
        <v>0</v>
      </c>
      <c r="E103" s="81">
        <v>20</v>
      </c>
      <c r="F103" s="82">
        <f t="shared" si="0"/>
        <v>0</v>
      </c>
      <c r="G103" s="83">
        <f t="shared" si="1"/>
        <v>0.1633</v>
      </c>
      <c r="H103" s="82">
        <f t="shared" si="2"/>
        <v>0</v>
      </c>
      <c r="I103" s="80">
        <v>0</v>
      </c>
      <c r="J103" s="82">
        <v>0</v>
      </c>
      <c r="K103" s="82">
        <f t="shared" si="11"/>
        <v>0</v>
      </c>
      <c r="L103" s="82">
        <f t="shared" si="4"/>
        <v>0</v>
      </c>
      <c r="M103" s="84">
        <f t="shared" si="6"/>
        <v>0.7</v>
      </c>
      <c r="N103" s="85">
        <f t="shared" si="12"/>
        <v>0</v>
      </c>
    </row>
    <row r="104" spans="1:20" ht="19.5" hidden="1" customHeight="1">
      <c r="A104" s="96" t="s">
        <v>155</v>
      </c>
      <c r="B104" s="108" t="s">
        <v>157</v>
      </c>
      <c r="C104" s="98" t="s">
        <v>39</v>
      </c>
      <c r="D104" s="99">
        <v>0</v>
      </c>
      <c r="E104" s="100">
        <v>5</v>
      </c>
      <c r="F104" s="101">
        <f t="shared" si="0"/>
        <v>0</v>
      </c>
      <c r="G104" s="102">
        <f t="shared" si="1"/>
        <v>0.1633</v>
      </c>
      <c r="H104" s="101">
        <f t="shared" si="2"/>
        <v>0</v>
      </c>
      <c r="I104" s="99">
        <v>0</v>
      </c>
      <c r="J104" s="101">
        <v>0</v>
      </c>
      <c r="K104" s="101">
        <f t="shared" si="11"/>
        <v>0</v>
      </c>
      <c r="L104" s="103">
        <f t="shared" si="4"/>
        <v>0</v>
      </c>
      <c r="M104" s="104">
        <f t="shared" si="6"/>
        <v>0.7</v>
      </c>
      <c r="N104" s="105">
        <f t="shared" si="12"/>
        <v>0</v>
      </c>
    </row>
    <row r="105" spans="1:20" ht="19.5" hidden="1" customHeight="1">
      <c r="A105" s="77" t="s">
        <v>155</v>
      </c>
      <c r="B105" s="106" t="s">
        <v>158</v>
      </c>
      <c r="C105" s="79" t="s">
        <v>39</v>
      </c>
      <c r="D105" s="80">
        <v>0</v>
      </c>
      <c r="E105" s="81">
        <v>40</v>
      </c>
      <c r="F105" s="82">
        <f t="shared" si="0"/>
        <v>0</v>
      </c>
      <c r="G105" s="83">
        <f t="shared" si="1"/>
        <v>0.1633</v>
      </c>
      <c r="H105" s="82">
        <f t="shared" si="2"/>
        <v>0</v>
      </c>
      <c r="I105" s="80">
        <v>0</v>
      </c>
      <c r="J105" s="82">
        <v>0</v>
      </c>
      <c r="K105" s="82">
        <f t="shared" si="11"/>
        <v>0</v>
      </c>
      <c r="L105" s="82">
        <f t="shared" si="4"/>
        <v>0</v>
      </c>
      <c r="M105" s="84">
        <f t="shared" si="6"/>
        <v>0.7</v>
      </c>
      <c r="N105" s="85">
        <f t="shared" si="12"/>
        <v>0</v>
      </c>
    </row>
    <row r="106" spans="1:20" ht="19.5" hidden="1" customHeight="1">
      <c r="A106" s="96" t="s">
        <v>155</v>
      </c>
      <c r="B106" s="108" t="s">
        <v>159</v>
      </c>
      <c r="C106" s="98" t="s">
        <v>42</v>
      </c>
      <c r="D106" s="99">
        <v>0</v>
      </c>
      <c r="E106" s="100">
        <v>120</v>
      </c>
      <c r="F106" s="101">
        <f t="shared" si="0"/>
        <v>0</v>
      </c>
      <c r="G106" s="102">
        <f t="shared" si="1"/>
        <v>0.1633</v>
      </c>
      <c r="H106" s="101">
        <f t="shared" si="2"/>
        <v>0</v>
      </c>
      <c r="I106" s="99">
        <v>0</v>
      </c>
      <c r="J106" s="101">
        <v>0</v>
      </c>
      <c r="K106" s="101">
        <f t="shared" si="11"/>
        <v>0</v>
      </c>
      <c r="L106" s="103">
        <f t="shared" si="4"/>
        <v>0</v>
      </c>
      <c r="M106" s="104">
        <f t="shared" si="6"/>
        <v>0.7</v>
      </c>
      <c r="N106" s="105">
        <f t="shared" si="12"/>
        <v>0</v>
      </c>
    </row>
    <row r="107" spans="1:20" ht="19.5" hidden="1" customHeight="1">
      <c r="A107" s="77" t="s">
        <v>160</v>
      </c>
      <c r="B107" s="78" t="s">
        <v>161</v>
      </c>
      <c r="C107" s="79" t="s">
        <v>39</v>
      </c>
      <c r="D107" s="80">
        <v>0</v>
      </c>
      <c r="E107" s="81">
        <v>900</v>
      </c>
      <c r="F107" s="82">
        <f t="shared" si="0"/>
        <v>0</v>
      </c>
      <c r="G107" s="83">
        <f t="shared" si="1"/>
        <v>0.1633</v>
      </c>
      <c r="H107" s="82">
        <f t="shared" si="2"/>
        <v>0</v>
      </c>
      <c r="I107" s="80">
        <v>0</v>
      </c>
      <c r="J107" s="82">
        <v>0</v>
      </c>
      <c r="K107" s="82">
        <f t="shared" si="11"/>
        <v>0</v>
      </c>
      <c r="L107" s="82">
        <f t="shared" si="4"/>
        <v>0</v>
      </c>
      <c r="M107" s="84">
        <v>0.3</v>
      </c>
      <c r="N107" s="85">
        <f t="shared" si="12"/>
        <v>0</v>
      </c>
    </row>
    <row r="108" spans="1:20" ht="19.5" customHeight="1">
      <c r="A108" s="134" t="s">
        <v>160</v>
      </c>
      <c r="B108" s="135" t="s">
        <v>162</v>
      </c>
      <c r="C108" s="121" t="s">
        <v>39</v>
      </c>
      <c r="D108" s="122">
        <f>1.21*0.6</f>
        <v>0.72599999999999998</v>
      </c>
      <c r="E108" s="123">
        <v>2500</v>
      </c>
      <c r="F108" s="124">
        <f t="shared" si="0"/>
        <v>1815</v>
      </c>
      <c r="G108" s="125">
        <f t="shared" si="1"/>
        <v>0.1633</v>
      </c>
      <c r="H108" s="124">
        <f t="shared" si="2"/>
        <v>2111.3895000000002</v>
      </c>
      <c r="I108" s="122">
        <v>1</v>
      </c>
      <c r="J108" s="124">
        <f>594.26+245.33+74.16+235.3+219.9</f>
        <v>1368.95</v>
      </c>
      <c r="K108" s="124">
        <f t="shared" si="11"/>
        <v>1368.95</v>
      </c>
      <c r="L108" s="124">
        <f t="shared" si="4"/>
        <v>1375.8563500000002</v>
      </c>
      <c r="M108" s="126">
        <f t="shared" ref="M108:M121" si="13">M107</f>
        <v>0.3</v>
      </c>
      <c r="N108" s="127">
        <f t="shared" si="12"/>
        <v>2744.8063500000003</v>
      </c>
      <c r="O108" s="95">
        <f t="shared" ref="O108:O112" si="14">L108*1/N108</f>
        <v>0.50125807600233807</v>
      </c>
      <c r="R108" s="188">
        <v>590.77</v>
      </c>
      <c r="S108" s="188">
        <f>SUM(K108:K110)</f>
        <v>3846.8</v>
      </c>
      <c r="T108" s="188">
        <f>SUM(L108:L110)-R108</f>
        <v>2711.7809749999997</v>
      </c>
    </row>
    <row r="109" spans="1:20" ht="19.5" customHeight="1">
      <c r="A109" s="134" t="s">
        <v>160</v>
      </c>
      <c r="B109" s="135" t="s">
        <v>163</v>
      </c>
      <c r="C109" s="121" t="s">
        <v>39</v>
      </c>
      <c r="D109" s="122">
        <f>1.48*0.5</f>
        <v>0.74</v>
      </c>
      <c r="E109" s="123">
        <v>2500</v>
      </c>
      <c r="F109" s="124">
        <f t="shared" si="0"/>
        <v>1850</v>
      </c>
      <c r="G109" s="125">
        <f t="shared" si="1"/>
        <v>0.1633</v>
      </c>
      <c r="H109" s="124">
        <f t="shared" si="2"/>
        <v>2152.105</v>
      </c>
      <c r="I109" s="122">
        <v>1</v>
      </c>
      <c r="J109" s="124">
        <f>594.26+245.33+369.11+74.16+115.9</f>
        <v>1398.7600000000002</v>
      </c>
      <c r="K109" s="124">
        <f t="shared" si="11"/>
        <v>1398.7600000000002</v>
      </c>
      <c r="L109" s="124">
        <f t="shared" si="4"/>
        <v>1398.9764999999998</v>
      </c>
      <c r="M109" s="126">
        <f t="shared" si="13"/>
        <v>0.3</v>
      </c>
      <c r="N109" s="127">
        <f t="shared" si="12"/>
        <v>2797.7365</v>
      </c>
      <c r="O109" s="95">
        <f t="shared" si="14"/>
        <v>0.50003869199261608</v>
      </c>
      <c r="R109" s="176"/>
      <c r="S109" s="176"/>
      <c r="T109" s="176"/>
    </row>
    <row r="110" spans="1:20" ht="19.5" customHeight="1">
      <c r="A110" s="134" t="s">
        <v>160</v>
      </c>
      <c r="B110" s="136" t="s">
        <v>164</v>
      </c>
      <c r="C110" s="121" t="s">
        <v>39</v>
      </c>
      <c r="D110" s="122">
        <f>0.85*0.5</f>
        <v>0.42499999999999999</v>
      </c>
      <c r="E110" s="123">
        <v>2500</v>
      </c>
      <c r="F110" s="124">
        <f t="shared" si="0"/>
        <v>1062.5</v>
      </c>
      <c r="G110" s="125">
        <f t="shared" si="1"/>
        <v>0.1633</v>
      </c>
      <c r="H110" s="124">
        <f t="shared" si="2"/>
        <v>1236.0062499999999</v>
      </c>
      <c r="I110" s="122">
        <v>1</v>
      </c>
      <c r="J110" s="124">
        <f>815.92+74.17+189</f>
        <v>1079.0899999999999</v>
      </c>
      <c r="K110" s="124">
        <f t="shared" si="11"/>
        <v>1079.0899999999999</v>
      </c>
      <c r="L110" s="124">
        <f t="shared" si="4"/>
        <v>527.71812499999987</v>
      </c>
      <c r="M110" s="126">
        <f t="shared" si="13"/>
        <v>0.3</v>
      </c>
      <c r="N110" s="127">
        <f t="shared" si="12"/>
        <v>1606.8081249999998</v>
      </c>
      <c r="O110" s="132">
        <f t="shared" si="14"/>
        <v>0.32842634835444334</v>
      </c>
      <c r="R110" s="176"/>
      <c r="S110" s="176"/>
      <c r="T110" s="176"/>
    </row>
    <row r="111" spans="1:20" ht="19.5" customHeight="1">
      <c r="A111" s="134" t="s">
        <v>160</v>
      </c>
      <c r="B111" s="135" t="s">
        <v>165</v>
      </c>
      <c r="C111" s="121" t="s">
        <v>42</v>
      </c>
      <c r="D111" s="122">
        <v>1</v>
      </c>
      <c r="E111" s="123">
        <v>1200</v>
      </c>
      <c r="F111" s="124">
        <f t="shared" si="0"/>
        <v>1200</v>
      </c>
      <c r="G111" s="125">
        <f t="shared" si="1"/>
        <v>0.1633</v>
      </c>
      <c r="H111" s="124">
        <f t="shared" si="2"/>
        <v>1395.96</v>
      </c>
      <c r="I111" s="122">
        <v>1</v>
      </c>
      <c r="J111" s="124">
        <v>1400</v>
      </c>
      <c r="K111" s="124">
        <f t="shared" si="11"/>
        <v>1400</v>
      </c>
      <c r="L111" s="124">
        <f t="shared" si="4"/>
        <v>414.74800000000005</v>
      </c>
      <c r="M111" s="126">
        <f t="shared" si="13"/>
        <v>0.3</v>
      </c>
      <c r="N111" s="127">
        <f t="shared" si="12"/>
        <v>1814.748</v>
      </c>
      <c r="O111" s="137">
        <f t="shared" si="14"/>
        <v>0.22854302635958273</v>
      </c>
    </row>
    <row r="112" spans="1:20" ht="19.5" customHeight="1">
      <c r="A112" s="134" t="s">
        <v>160</v>
      </c>
      <c r="B112" s="135" t="s">
        <v>166</v>
      </c>
      <c r="C112" s="121" t="s">
        <v>42</v>
      </c>
      <c r="D112" s="122">
        <v>1</v>
      </c>
      <c r="E112" s="123">
        <v>700</v>
      </c>
      <c r="F112" s="124">
        <f t="shared" si="0"/>
        <v>700</v>
      </c>
      <c r="G112" s="125">
        <f t="shared" si="1"/>
        <v>0.1633</v>
      </c>
      <c r="H112" s="124">
        <f t="shared" si="2"/>
        <v>814.31</v>
      </c>
      <c r="I112" s="122">
        <v>1</v>
      </c>
      <c r="J112" s="124">
        <v>400</v>
      </c>
      <c r="K112" s="124">
        <f t="shared" si="11"/>
        <v>400</v>
      </c>
      <c r="L112" s="124">
        <f t="shared" si="4"/>
        <v>658.60299999999984</v>
      </c>
      <c r="M112" s="126">
        <f t="shared" si="13"/>
        <v>0.3</v>
      </c>
      <c r="N112" s="127">
        <f t="shared" si="12"/>
        <v>1058.6029999999998</v>
      </c>
      <c r="O112" s="95">
        <f t="shared" si="14"/>
        <v>0.62214352311489762</v>
      </c>
    </row>
    <row r="113" spans="1:14" ht="19.5" hidden="1" customHeight="1">
      <c r="A113" s="77" t="s">
        <v>160</v>
      </c>
      <c r="B113" s="78" t="s">
        <v>167</v>
      </c>
      <c r="C113" s="79" t="s">
        <v>42</v>
      </c>
      <c r="D113" s="80">
        <v>0</v>
      </c>
      <c r="E113" s="81">
        <v>100</v>
      </c>
      <c r="F113" s="82">
        <f t="shared" si="0"/>
        <v>0</v>
      </c>
      <c r="G113" s="83">
        <f t="shared" si="1"/>
        <v>0.1633</v>
      </c>
      <c r="H113" s="82">
        <f t="shared" si="2"/>
        <v>0</v>
      </c>
      <c r="I113" s="80">
        <v>0</v>
      </c>
      <c r="J113" s="82">
        <v>0</v>
      </c>
      <c r="K113" s="82">
        <f t="shared" si="11"/>
        <v>0</v>
      </c>
      <c r="L113" s="82">
        <f t="shared" si="4"/>
        <v>0</v>
      </c>
      <c r="M113" s="84">
        <f t="shared" si="13"/>
        <v>0.3</v>
      </c>
      <c r="N113" s="85">
        <f t="shared" si="12"/>
        <v>0</v>
      </c>
    </row>
    <row r="114" spans="1:14" ht="19.5" hidden="1" customHeight="1">
      <c r="A114" s="77" t="s">
        <v>160</v>
      </c>
      <c r="B114" s="97" t="s">
        <v>168</v>
      </c>
      <c r="C114" s="98" t="s">
        <v>42</v>
      </c>
      <c r="D114" s="99">
        <v>0</v>
      </c>
      <c r="E114" s="100">
        <v>50</v>
      </c>
      <c r="F114" s="101">
        <f t="shared" si="0"/>
        <v>0</v>
      </c>
      <c r="G114" s="102">
        <f t="shared" si="1"/>
        <v>0.1633</v>
      </c>
      <c r="H114" s="101">
        <f t="shared" si="2"/>
        <v>0</v>
      </c>
      <c r="I114" s="99">
        <v>0</v>
      </c>
      <c r="J114" s="101">
        <v>0</v>
      </c>
      <c r="K114" s="101">
        <f t="shared" si="11"/>
        <v>0</v>
      </c>
      <c r="L114" s="103">
        <f t="shared" si="4"/>
        <v>0</v>
      </c>
      <c r="M114" s="104">
        <f t="shared" si="13"/>
        <v>0.3</v>
      </c>
      <c r="N114" s="105">
        <f t="shared" si="12"/>
        <v>0</v>
      </c>
    </row>
    <row r="115" spans="1:14" ht="19.5" hidden="1" customHeight="1">
      <c r="A115" s="77" t="s">
        <v>160</v>
      </c>
      <c r="B115" s="78" t="s">
        <v>169</v>
      </c>
      <c r="C115" s="79" t="s">
        <v>42</v>
      </c>
      <c r="D115" s="80">
        <v>0</v>
      </c>
      <c r="E115" s="81">
        <v>250</v>
      </c>
      <c r="F115" s="82">
        <f t="shared" si="0"/>
        <v>0</v>
      </c>
      <c r="G115" s="83">
        <f t="shared" si="1"/>
        <v>0.1633</v>
      </c>
      <c r="H115" s="82">
        <f t="shared" si="2"/>
        <v>0</v>
      </c>
      <c r="I115" s="80">
        <v>0</v>
      </c>
      <c r="J115" s="82">
        <v>0</v>
      </c>
      <c r="K115" s="82">
        <f t="shared" si="11"/>
        <v>0</v>
      </c>
      <c r="L115" s="82">
        <f t="shared" si="4"/>
        <v>0</v>
      </c>
      <c r="M115" s="84">
        <f t="shared" si="13"/>
        <v>0.3</v>
      </c>
      <c r="N115" s="85">
        <f t="shared" si="12"/>
        <v>0</v>
      </c>
    </row>
    <row r="116" spans="1:14" ht="19.5" hidden="1" customHeight="1">
      <c r="A116" s="77" t="s">
        <v>160</v>
      </c>
      <c r="B116" s="97" t="s">
        <v>170</v>
      </c>
      <c r="C116" s="98" t="s">
        <v>42</v>
      </c>
      <c r="D116" s="99">
        <v>0</v>
      </c>
      <c r="E116" s="100">
        <v>150</v>
      </c>
      <c r="F116" s="101">
        <f t="shared" si="0"/>
        <v>0</v>
      </c>
      <c r="G116" s="102">
        <f t="shared" si="1"/>
        <v>0.1633</v>
      </c>
      <c r="H116" s="101">
        <f t="shared" si="2"/>
        <v>0</v>
      </c>
      <c r="I116" s="99">
        <v>0</v>
      </c>
      <c r="J116" s="101">
        <v>0</v>
      </c>
      <c r="K116" s="101">
        <f t="shared" si="11"/>
        <v>0</v>
      </c>
      <c r="L116" s="103">
        <f t="shared" si="4"/>
        <v>0</v>
      </c>
      <c r="M116" s="104">
        <f t="shared" si="13"/>
        <v>0.3</v>
      </c>
      <c r="N116" s="105">
        <f t="shared" si="12"/>
        <v>0</v>
      </c>
    </row>
    <row r="117" spans="1:14" ht="19.5" hidden="1" customHeight="1">
      <c r="A117" s="77" t="s">
        <v>160</v>
      </c>
      <c r="B117" s="78" t="s">
        <v>171</v>
      </c>
      <c r="C117" s="79" t="s">
        <v>42</v>
      </c>
      <c r="D117" s="80">
        <v>0</v>
      </c>
      <c r="E117" s="81">
        <v>150</v>
      </c>
      <c r="F117" s="82">
        <f t="shared" si="0"/>
        <v>0</v>
      </c>
      <c r="G117" s="83">
        <f t="shared" si="1"/>
        <v>0.1633</v>
      </c>
      <c r="H117" s="82">
        <f t="shared" si="2"/>
        <v>0</v>
      </c>
      <c r="I117" s="80">
        <v>0</v>
      </c>
      <c r="J117" s="82">
        <v>0</v>
      </c>
      <c r="K117" s="82">
        <f t="shared" si="11"/>
        <v>0</v>
      </c>
      <c r="L117" s="82">
        <f t="shared" si="4"/>
        <v>0</v>
      </c>
      <c r="M117" s="84">
        <f t="shared" si="13"/>
        <v>0.3</v>
      </c>
      <c r="N117" s="85">
        <f t="shared" si="12"/>
        <v>0</v>
      </c>
    </row>
    <row r="118" spans="1:14" ht="19.5" hidden="1" customHeight="1">
      <c r="A118" s="77" t="s">
        <v>160</v>
      </c>
      <c r="B118" s="97" t="s">
        <v>172</v>
      </c>
      <c r="C118" s="98" t="s">
        <v>70</v>
      </c>
      <c r="D118" s="99">
        <v>0</v>
      </c>
      <c r="E118" s="100">
        <v>30</v>
      </c>
      <c r="F118" s="101">
        <f t="shared" si="0"/>
        <v>0</v>
      </c>
      <c r="G118" s="102">
        <f t="shared" si="1"/>
        <v>0.1633</v>
      </c>
      <c r="H118" s="101">
        <f t="shared" si="2"/>
        <v>0</v>
      </c>
      <c r="I118" s="99">
        <v>0</v>
      </c>
      <c r="J118" s="101">
        <v>0</v>
      </c>
      <c r="K118" s="101">
        <f t="shared" si="11"/>
        <v>0</v>
      </c>
      <c r="L118" s="103">
        <f t="shared" si="4"/>
        <v>0</v>
      </c>
      <c r="M118" s="104">
        <f t="shared" si="13"/>
        <v>0.3</v>
      </c>
      <c r="N118" s="105">
        <f t="shared" si="12"/>
        <v>0</v>
      </c>
    </row>
    <row r="119" spans="1:14" ht="19.5" hidden="1" customHeight="1">
      <c r="A119" s="77" t="s">
        <v>160</v>
      </c>
      <c r="B119" s="78" t="s">
        <v>173</v>
      </c>
      <c r="C119" s="79" t="s">
        <v>42</v>
      </c>
      <c r="D119" s="80">
        <v>0</v>
      </c>
      <c r="E119" s="81">
        <v>80</v>
      </c>
      <c r="F119" s="82">
        <f t="shared" si="0"/>
        <v>0</v>
      </c>
      <c r="G119" s="83">
        <f t="shared" si="1"/>
        <v>0.1633</v>
      </c>
      <c r="H119" s="82">
        <f t="shared" si="2"/>
        <v>0</v>
      </c>
      <c r="I119" s="80">
        <v>0</v>
      </c>
      <c r="J119" s="82">
        <v>0</v>
      </c>
      <c r="K119" s="82">
        <f t="shared" si="11"/>
        <v>0</v>
      </c>
      <c r="L119" s="82">
        <f t="shared" si="4"/>
        <v>0</v>
      </c>
      <c r="M119" s="84">
        <f t="shared" si="13"/>
        <v>0.3</v>
      </c>
      <c r="N119" s="85">
        <f t="shared" si="12"/>
        <v>0</v>
      </c>
    </row>
    <row r="120" spans="1:14" ht="19.5" hidden="1" customHeight="1">
      <c r="A120" s="77" t="s">
        <v>160</v>
      </c>
      <c r="B120" s="97" t="s">
        <v>174</v>
      </c>
      <c r="C120" s="98" t="s">
        <v>42</v>
      </c>
      <c r="D120" s="99">
        <v>0</v>
      </c>
      <c r="E120" s="100">
        <v>60</v>
      </c>
      <c r="F120" s="101">
        <f t="shared" si="0"/>
        <v>0</v>
      </c>
      <c r="G120" s="102">
        <f t="shared" si="1"/>
        <v>0.1633</v>
      </c>
      <c r="H120" s="101">
        <f t="shared" si="2"/>
        <v>0</v>
      </c>
      <c r="I120" s="99">
        <v>0</v>
      </c>
      <c r="J120" s="101">
        <v>0</v>
      </c>
      <c r="K120" s="101">
        <f t="shared" si="11"/>
        <v>0</v>
      </c>
      <c r="L120" s="103">
        <f t="shared" si="4"/>
        <v>0</v>
      </c>
      <c r="M120" s="104">
        <f t="shared" si="13"/>
        <v>0.3</v>
      </c>
      <c r="N120" s="105">
        <f t="shared" si="12"/>
        <v>0</v>
      </c>
    </row>
    <row r="121" spans="1:14" ht="19.5" hidden="1" customHeight="1">
      <c r="A121" s="77" t="s">
        <v>175</v>
      </c>
      <c r="B121" s="106" t="s">
        <v>176</v>
      </c>
      <c r="C121" s="79" t="s">
        <v>39</v>
      </c>
      <c r="D121" s="80">
        <v>0</v>
      </c>
      <c r="E121" s="138">
        <v>15</v>
      </c>
      <c r="F121" s="139">
        <f t="shared" si="0"/>
        <v>0</v>
      </c>
      <c r="G121" s="83">
        <f t="shared" si="1"/>
        <v>0.1633</v>
      </c>
      <c r="H121" s="139">
        <f t="shared" si="2"/>
        <v>0</v>
      </c>
      <c r="I121" s="140">
        <v>0</v>
      </c>
      <c r="J121" s="139">
        <v>0</v>
      </c>
      <c r="K121" s="139">
        <f t="shared" si="11"/>
        <v>0</v>
      </c>
      <c r="L121" s="82">
        <f t="shared" si="4"/>
        <v>0</v>
      </c>
      <c r="M121" s="84">
        <f t="shared" si="13"/>
        <v>0.3</v>
      </c>
      <c r="N121" s="141">
        <f t="shared" si="12"/>
        <v>0</v>
      </c>
    </row>
    <row r="122" spans="1:14" ht="14.4">
      <c r="A122" s="142"/>
      <c r="B122" s="143"/>
      <c r="C122" s="144"/>
      <c r="D122" s="145"/>
      <c r="E122" s="146"/>
      <c r="F122" s="146"/>
      <c r="G122" s="147"/>
      <c r="H122" s="146"/>
      <c r="I122" s="145"/>
      <c r="J122" s="146"/>
      <c r="K122" s="146"/>
      <c r="L122" s="146"/>
      <c r="M122" s="148"/>
      <c r="N122" s="142"/>
    </row>
    <row r="123" spans="1:14" ht="14.4">
      <c r="A123" s="149"/>
      <c r="B123" s="150"/>
      <c r="C123" s="150"/>
      <c r="D123" s="150"/>
      <c r="E123" s="150"/>
      <c r="F123" s="151">
        <f>SUM(F3:F121)</f>
        <v>15880.05</v>
      </c>
      <c r="G123" s="150"/>
      <c r="H123" s="150"/>
      <c r="I123" s="150"/>
      <c r="J123" s="150"/>
      <c r="K123" s="152">
        <v>0</v>
      </c>
      <c r="L123" s="152">
        <f>SUM(L4:L112)</f>
        <v>14952.837380499997</v>
      </c>
      <c r="M123" s="153"/>
      <c r="N123" s="151">
        <f>SUM(N3:N121)</f>
        <v>28620.637380499997</v>
      </c>
    </row>
    <row r="124" spans="1:14" ht="14.4">
      <c r="A124" s="142"/>
      <c r="B124" s="143"/>
      <c r="C124" s="144"/>
      <c r="D124" s="145"/>
      <c r="E124" s="146"/>
      <c r="F124" s="154">
        <v>0.3</v>
      </c>
      <c r="G124" s="147"/>
      <c r="H124" s="155">
        <f>SUM(F123:F125)</f>
        <v>20644.364999999998</v>
      </c>
      <c r="I124" s="156">
        <v>0.32</v>
      </c>
      <c r="J124" s="155">
        <f>H124*I124</f>
        <v>6606.1967999999997</v>
      </c>
      <c r="K124" s="155">
        <f>H124+J124</f>
        <v>27250.561799999996</v>
      </c>
      <c r="L124" s="155"/>
      <c r="M124" s="148"/>
      <c r="N124" s="157"/>
    </row>
    <row r="125" spans="1:14" ht="13.5" customHeight="1">
      <c r="D125" s="158"/>
      <c r="F125" s="159">
        <f>F123*F124</f>
        <v>4764.0149999999994</v>
      </c>
      <c r="G125" s="158"/>
      <c r="I125" s="158"/>
    </row>
    <row r="126" spans="1:14" ht="12" hidden="1" customHeight="1">
      <c r="D126" s="158"/>
      <c r="G126" s="158"/>
      <c r="I126" s="158"/>
    </row>
    <row r="127" spans="1:14" ht="14.4">
      <c r="D127" s="158"/>
      <c r="G127" s="158"/>
      <c r="I127" s="158"/>
    </row>
    <row r="128" spans="1:14" ht="14.4">
      <c r="D128" s="158"/>
      <c r="G128" s="158"/>
      <c r="I128" s="158"/>
    </row>
    <row r="129" spans="4:9" ht="14.4">
      <c r="D129" s="158"/>
      <c r="G129" s="158"/>
      <c r="I129" s="158"/>
    </row>
    <row r="130" spans="4:9" ht="14.4">
      <c r="D130" s="158"/>
      <c r="G130" s="158"/>
      <c r="I130" s="158"/>
    </row>
    <row r="131" spans="4:9" ht="14.4">
      <c r="D131" s="158"/>
      <c r="G131" s="158"/>
      <c r="I131" s="158"/>
    </row>
    <row r="132" spans="4:9" ht="14.4">
      <c r="D132" s="158"/>
      <c r="G132" s="158"/>
      <c r="I132" s="158"/>
    </row>
    <row r="133" spans="4:9" ht="14.4">
      <c r="D133" s="158"/>
      <c r="G133" s="158"/>
      <c r="I133" s="158"/>
    </row>
    <row r="134" spans="4:9" ht="14.4">
      <c r="D134" s="158"/>
      <c r="G134" s="158"/>
      <c r="I134" s="158"/>
    </row>
    <row r="135" spans="4:9" ht="14.4">
      <c r="D135" s="158"/>
      <c r="G135" s="158"/>
      <c r="I135" s="158"/>
    </row>
    <row r="136" spans="4:9" ht="14.4">
      <c r="D136" s="158"/>
      <c r="G136" s="158"/>
      <c r="I136" s="158"/>
    </row>
    <row r="137" spans="4:9" ht="14.4">
      <c r="D137" s="158"/>
      <c r="G137" s="158"/>
      <c r="I137" s="158"/>
    </row>
    <row r="138" spans="4:9" ht="14.4">
      <c r="D138" s="158"/>
      <c r="G138" s="158"/>
      <c r="I138" s="158"/>
    </row>
    <row r="139" spans="4:9" ht="14.4">
      <c r="D139" s="158"/>
      <c r="G139" s="158"/>
      <c r="I139" s="158"/>
    </row>
    <row r="140" spans="4:9" ht="14.4">
      <c r="D140" s="158"/>
      <c r="G140" s="158"/>
      <c r="I140" s="158"/>
    </row>
    <row r="141" spans="4:9" ht="14.4">
      <c r="D141" s="158"/>
      <c r="G141" s="158"/>
      <c r="I141" s="158"/>
    </row>
    <row r="142" spans="4:9" ht="14.4">
      <c r="D142" s="158"/>
      <c r="G142" s="158"/>
      <c r="I142" s="158"/>
    </row>
    <row r="143" spans="4:9" ht="14.4">
      <c r="D143" s="158"/>
      <c r="G143" s="158"/>
      <c r="I143" s="158"/>
    </row>
    <row r="144" spans="4:9" ht="14.4">
      <c r="D144" s="158"/>
      <c r="G144" s="158"/>
      <c r="I144" s="158"/>
    </row>
  </sheetData>
  <autoFilter ref="A2:A121" xr:uid="{00000000-0009-0000-0000-000001000000}"/>
  <mergeCells count="5">
    <mergeCell ref="D1:F1"/>
    <mergeCell ref="I1:K1"/>
    <mergeCell ref="R108:R110"/>
    <mergeCell ref="S108:S110"/>
    <mergeCell ref="T108:T110"/>
  </mergeCells>
  <dataValidations count="1">
    <dataValidation type="list" allowBlank="1" showErrorMessage="1" sqref="A3:A121" xr:uid="{00000000-0002-0000-0100-000000000000}">
      <formula1>#REF!</formula1>
    </dataValidation>
  </dataValidations>
  <pageMargins left="0.7" right="0.7" top="0.75" bottom="0.75" header="0" footer="0"/>
  <pageSetup orientation="landscape"/>
  <headerFooter>
    <oddFooter>&amp;L&amp;A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P1000"/>
  <sheetViews>
    <sheetView workbookViewId="0">
      <selection activeCell="P13" sqref="P13"/>
    </sheetView>
  </sheetViews>
  <sheetFormatPr defaultColWidth="14.44140625" defaultRowHeight="15" customHeight="1"/>
  <cols>
    <col min="1" max="2" width="8.6640625" customWidth="1"/>
    <col min="3" max="3" width="11.109375" customWidth="1"/>
    <col min="4" max="5" width="8.6640625" customWidth="1"/>
    <col min="6" max="6" width="9.44140625" customWidth="1"/>
    <col min="7" max="8" width="8.6640625" customWidth="1"/>
    <col min="9" max="9" width="11.88671875" customWidth="1"/>
    <col min="10" max="10" width="8.6640625" customWidth="1"/>
    <col min="11" max="11" width="86" customWidth="1"/>
    <col min="12" max="14" width="8.6640625" customWidth="1"/>
    <col min="15" max="15" width="8.5546875" customWidth="1"/>
    <col min="16" max="16" width="11.33203125" customWidth="1"/>
    <col min="17" max="27" width="8.6640625" customWidth="1"/>
  </cols>
  <sheetData>
    <row r="1" spans="3:16" ht="14.25" customHeight="1"/>
    <row r="2" spans="3:16" ht="14.25" customHeight="1">
      <c r="L2" s="133" t="s">
        <v>177</v>
      </c>
      <c r="M2" s="133" t="s">
        <v>178</v>
      </c>
      <c r="N2" s="133" t="s">
        <v>179</v>
      </c>
      <c r="O2" s="133" t="s">
        <v>180</v>
      </c>
      <c r="P2" s="133" t="s">
        <v>181</v>
      </c>
    </row>
    <row r="3" spans="3:16" ht="14.25" customHeight="1">
      <c r="C3" s="133" t="s">
        <v>182</v>
      </c>
      <c r="D3" s="189" t="s">
        <v>183</v>
      </c>
      <c r="E3" s="176"/>
      <c r="F3" s="176"/>
      <c r="K3" s="133" t="s">
        <v>184</v>
      </c>
      <c r="L3" s="133" t="s">
        <v>185</v>
      </c>
      <c r="M3" s="160">
        <v>32.499000000000002</v>
      </c>
      <c r="N3" s="133">
        <v>9</v>
      </c>
      <c r="O3" s="161">
        <v>75.150000000000006</v>
      </c>
      <c r="P3" s="161">
        <f t="shared" ref="P3:P6" si="0">M3*O3</f>
        <v>2442.2998500000003</v>
      </c>
    </row>
    <row r="4" spans="3:16" ht="14.25" customHeight="1">
      <c r="K4" s="133" t="s">
        <v>186</v>
      </c>
      <c r="L4" s="133" t="s">
        <v>187</v>
      </c>
      <c r="M4" s="133">
        <v>12</v>
      </c>
      <c r="N4" s="133">
        <v>3</v>
      </c>
      <c r="O4" s="161">
        <v>29.88</v>
      </c>
      <c r="P4" s="161">
        <f t="shared" si="0"/>
        <v>358.56</v>
      </c>
    </row>
    <row r="5" spans="3:16" ht="14.25" customHeight="1">
      <c r="C5" s="133" t="s">
        <v>188</v>
      </c>
      <c r="D5" s="189" t="s">
        <v>189</v>
      </c>
      <c r="E5" s="176"/>
      <c r="F5" s="133" t="s">
        <v>39</v>
      </c>
      <c r="K5" s="133" t="s">
        <v>190</v>
      </c>
      <c r="L5" s="133" t="s">
        <v>177</v>
      </c>
      <c r="M5" s="133">
        <v>2</v>
      </c>
      <c r="N5" s="133">
        <v>2</v>
      </c>
      <c r="O5" s="161">
        <v>26.5</v>
      </c>
      <c r="P5" s="161">
        <f t="shared" si="0"/>
        <v>53</v>
      </c>
    </row>
    <row r="6" spans="3:16" ht="14.25" customHeight="1">
      <c r="K6" s="162" t="s">
        <v>191</v>
      </c>
      <c r="L6" s="133" t="s">
        <v>70</v>
      </c>
      <c r="M6" s="133">
        <v>17.28</v>
      </c>
      <c r="N6" s="133">
        <v>8</v>
      </c>
      <c r="O6" s="163">
        <v>19.53</v>
      </c>
      <c r="P6" s="161">
        <f t="shared" si="0"/>
        <v>337.47840000000002</v>
      </c>
    </row>
    <row r="7" spans="3:16" ht="14.25" customHeight="1">
      <c r="C7" s="133" t="s">
        <v>192</v>
      </c>
      <c r="D7" s="133">
        <v>2.4500000000000002</v>
      </c>
      <c r="E7" s="133">
        <v>4.55</v>
      </c>
      <c r="F7" s="160">
        <f t="shared" ref="F7:F9" si="1">D7*E7</f>
        <v>11.147500000000001</v>
      </c>
      <c r="O7" s="161"/>
      <c r="P7" s="161">
        <f>SUM(P3:P6)</f>
        <v>3191.3382500000002</v>
      </c>
    </row>
    <row r="8" spans="3:16" ht="14.25" customHeight="1">
      <c r="C8" s="133" t="s">
        <v>193</v>
      </c>
      <c r="D8" s="160">
        <v>4</v>
      </c>
      <c r="E8" s="160">
        <v>2.5</v>
      </c>
      <c r="F8" s="160">
        <f t="shared" si="1"/>
        <v>10</v>
      </c>
      <c r="K8" s="133" t="s">
        <v>194</v>
      </c>
      <c r="O8" s="161"/>
      <c r="P8" s="161">
        <f>176.99+40</f>
        <v>216.99</v>
      </c>
    </row>
    <row r="9" spans="3:16" ht="14.25" customHeight="1">
      <c r="C9" s="133" t="s">
        <v>195</v>
      </c>
      <c r="D9" s="160">
        <v>2</v>
      </c>
      <c r="E9" s="160">
        <v>2.65</v>
      </c>
      <c r="F9" s="160">
        <f t="shared" si="1"/>
        <v>5.3</v>
      </c>
      <c r="K9" s="133" t="s">
        <v>196</v>
      </c>
      <c r="L9" s="133" t="s">
        <v>39</v>
      </c>
      <c r="M9" s="133">
        <v>25</v>
      </c>
      <c r="O9" s="163">
        <v>20</v>
      </c>
      <c r="P9" s="161">
        <f t="shared" ref="P9:P10" si="2">M9*O9</f>
        <v>500</v>
      </c>
    </row>
    <row r="10" spans="3:16" ht="14.25" customHeight="1">
      <c r="E10" s="133" t="s">
        <v>181</v>
      </c>
      <c r="F10" s="160">
        <f>SUM(F7:F9)</f>
        <v>26.447500000000002</v>
      </c>
      <c r="K10" s="133" t="s">
        <v>197</v>
      </c>
      <c r="M10" s="133">
        <v>10</v>
      </c>
      <c r="O10" s="163">
        <v>11</v>
      </c>
      <c r="P10" s="161">
        <f t="shared" si="2"/>
        <v>110</v>
      </c>
    </row>
    <row r="11" spans="3:16" ht="14.25" customHeight="1">
      <c r="F11" s="164">
        <v>0.1</v>
      </c>
    </row>
    <row r="12" spans="3:16" ht="14.25" customHeight="1">
      <c r="F12" s="160">
        <f>F10*F11+F10</f>
        <v>29.09225</v>
      </c>
      <c r="H12" s="165">
        <v>72.900000000000006</v>
      </c>
      <c r="I12" s="159">
        <f>F12*H12</f>
        <v>2120.8250250000001</v>
      </c>
      <c r="P12" s="161">
        <f>SUM(P7:P10)</f>
        <v>4018.3282500000005</v>
      </c>
    </row>
    <row r="13" spans="3:16" ht="14.25" customHeight="1">
      <c r="F13" s="160"/>
      <c r="H13" s="165"/>
      <c r="I13" s="159"/>
      <c r="P13" s="168">
        <f>P12/32.5</f>
        <v>123.64086923076924</v>
      </c>
    </row>
    <row r="14" spans="3:16" ht="14.25" customHeight="1">
      <c r="C14" s="133" t="s">
        <v>198</v>
      </c>
      <c r="D14" s="133" t="s">
        <v>199</v>
      </c>
      <c r="F14" s="160"/>
      <c r="H14" s="165"/>
      <c r="I14" s="159"/>
    </row>
    <row r="15" spans="3:16" ht="14.25" customHeight="1">
      <c r="F15" s="160"/>
      <c r="H15" s="165"/>
      <c r="I15" s="159"/>
      <c r="K15" s="166" t="s">
        <v>200</v>
      </c>
    </row>
    <row r="16" spans="3:16" ht="14.25" customHeight="1">
      <c r="F16" s="160"/>
      <c r="H16" s="165"/>
      <c r="I16" s="159"/>
    </row>
    <row r="17" spans="3:6" ht="14.25" customHeight="1"/>
    <row r="18" spans="3:6" ht="14.25" customHeight="1">
      <c r="C18" s="133" t="s">
        <v>201</v>
      </c>
      <c r="D18" s="189" t="s">
        <v>202</v>
      </c>
      <c r="E18" s="176"/>
      <c r="F18" s="176"/>
    </row>
    <row r="19" spans="3:6" ht="14.25" customHeight="1">
      <c r="D19" s="189" t="s">
        <v>203</v>
      </c>
      <c r="E19" s="176"/>
      <c r="F19" s="133" t="s">
        <v>204</v>
      </c>
    </row>
    <row r="20" spans="3:6" ht="14.25" customHeight="1">
      <c r="C20" s="133" t="s">
        <v>181</v>
      </c>
      <c r="F20" s="133">
        <f>17.64-3</f>
        <v>14.64</v>
      </c>
    </row>
    <row r="21" spans="3:6" ht="14.25" customHeight="1">
      <c r="F21" s="164">
        <v>0.1</v>
      </c>
    </row>
    <row r="22" spans="3:6" ht="14.25" customHeight="1">
      <c r="F22" s="133">
        <f>F20*F21+F20</f>
        <v>16.103999999999999</v>
      </c>
    </row>
    <row r="23" spans="3:6" ht="14.25" customHeight="1"/>
    <row r="24" spans="3:6" ht="14.25" customHeight="1">
      <c r="C24" s="133" t="s">
        <v>205</v>
      </c>
      <c r="D24" s="167" t="s">
        <v>199</v>
      </c>
    </row>
    <row r="25" spans="3:6" ht="14.25" customHeight="1">
      <c r="C25" s="133" t="s">
        <v>206</v>
      </c>
      <c r="D25" s="133" t="s">
        <v>199</v>
      </c>
    </row>
    <row r="26" spans="3:6" ht="14.25" customHeight="1"/>
    <row r="27" spans="3:6" ht="14.25" customHeight="1"/>
    <row r="28" spans="3:6" ht="14.25" customHeight="1">
      <c r="C28" s="133" t="s">
        <v>207</v>
      </c>
    </row>
    <row r="29" spans="3:6" ht="14.25" customHeight="1">
      <c r="E29" s="133" t="s">
        <v>208</v>
      </c>
      <c r="F29" s="133" t="s">
        <v>209</v>
      </c>
    </row>
    <row r="30" spans="3:6" ht="14.25" customHeight="1">
      <c r="C30" s="133" t="s">
        <v>210</v>
      </c>
    </row>
    <row r="31" spans="3:6" ht="14.25" customHeight="1"/>
    <row r="32" spans="3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D3:F3"/>
    <mergeCell ref="D5:E5"/>
    <mergeCell ref="D18:F18"/>
    <mergeCell ref="D19:E19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tabSelected="1" workbookViewId="0">
      <selection activeCell="D12" sqref="D12"/>
    </sheetView>
  </sheetViews>
  <sheetFormatPr defaultColWidth="14.44140625" defaultRowHeight="15" customHeight="1"/>
  <cols>
    <col min="1" max="1" width="32.77734375" bestFit="1" customWidth="1"/>
    <col min="2" max="26" width="8.6640625" customWidth="1"/>
  </cols>
  <sheetData>
    <row r="1" spans="1:4" ht="14.25" customHeight="1"/>
    <row r="2" spans="1:4" ht="14.25" customHeight="1"/>
    <row r="3" spans="1:4" ht="14.25" customHeight="1"/>
    <row r="4" spans="1:4" ht="14.25" customHeight="1">
      <c r="D4" s="133" t="s">
        <v>211</v>
      </c>
    </row>
    <row r="5" spans="1:4" ht="14.25" customHeight="1">
      <c r="A5" s="190" t="s">
        <v>212</v>
      </c>
    </row>
    <row r="6" spans="1:4" ht="14.25" customHeight="1">
      <c r="A6" s="190" t="s">
        <v>213</v>
      </c>
    </row>
    <row r="7" spans="1:4" ht="14.25" customHeight="1">
      <c r="A7" s="190" t="s">
        <v>214</v>
      </c>
    </row>
    <row r="8" spans="1:4" ht="14.25" customHeight="1"/>
    <row r="9" spans="1:4" ht="14.25" customHeight="1">
      <c r="A9" s="190" t="s">
        <v>215</v>
      </c>
      <c r="B9">
        <v>550</v>
      </c>
    </row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4</vt:i4>
      </vt:variant>
    </vt:vector>
  </HeadingPairs>
  <TitlesOfParts>
    <vt:vector size="8" baseType="lpstr">
      <vt:lpstr>Proposta</vt:lpstr>
      <vt:lpstr>Planejamento</vt:lpstr>
      <vt:lpstr>Piso Vinilico </vt:lpstr>
      <vt:lpstr>Extras</vt:lpstr>
      <vt:lpstr>Planejamento!Z_578704EF_7FEB_466F_8696_9E38F7D13393_.wvu.Cols</vt:lpstr>
      <vt:lpstr>Proposta!Z_578704EF_7FEB_466F_8696_9E38F7D13393_.wvu.Cols</vt:lpstr>
      <vt:lpstr>Planejamento!Z_578704EF_7FEB_466F_8696_9E38F7D13393_.wvu.PrintArea</vt:lpstr>
      <vt:lpstr>Proposta!Z_578704EF_7FEB_466F_8696_9E38F7D13393_.wvu.PrintArea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Gome</dc:creator>
  <cp:lastModifiedBy>DELL</cp:lastModifiedBy>
  <dcterms:created xsi:type="dcterms:W3CDTF">2012-10-23T18:34:10Z</dcterms:created>
  <dcterms:modified xsi:type="dcterms:W3CDTF">2025-07-12T20:57:25Z</dcterms:modified>
</cp:coreProperties>
</file>
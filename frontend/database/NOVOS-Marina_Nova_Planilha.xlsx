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Sheet1" sheetId="2" r:id="rId5"/>
    <sheet state="visible" name="Cópia de Sheet1" sheetId="3" r:id="rId6"/>
  </sheets>
  <definedNames/>
  <calcPr/>
  <extLst>
    <ext uri="GoogleSheetsCustomDataVersion2">
      <go:sheetsCustomData xmlns:go="http://customooxmlschemas.google.com/" r:id="rId7" roundtripDataChecksum="rgMh56cjLiiwdoXQvz3uWj7l2RmAQEslQndJ6YEiadY="/>
    </ext>
  </extLst>
</workbook>
</file>

<file path=xl/sharedStrings.xml><?xml version="1.0" encoding="utf-8"?>
<sst xmlns="http://schemas.openxmlformats.org/spreadsheetml/2006/main" count="131" uniqueCount="57">
  <si>
    <t>Marina</t>
  </si>
  <si>
    <t xml:space="preserve">Uma Uma </t>
  </si>
  <si>
    <t xml:space="preserve">Skic </t>
  </si>
  <si>
    <t>Luiz 181B</t>
  </si>
  <si>
    <t xml:space="preserve">Demolição </t>
  </si>
  <si>
    <t xml:space="preserve">DATA </t>
  </si>
  <si>
    <t xml:space="preserve">VALOR </t>
  </si>
  <si>
    <t xml:space="preserve">FORNECEDOR </t>
  </si>
  <si>
    <t xml:space="preserve">FINALIDADE </t>
  </si>
  <si>
    <t>WG ARQUITETURA</t>
  </si>
  <si>
    <t xml:space="preserve">projeto arquitetônico </t>
  </si>
  <si>
    <t xml:space="preserve">WG REFORMAS </t>
  </si>
  <si>
    <t>Demolição</t>
  </si>
  <si>
    <t>ok</t>
  </si>
  <si>
    <t>WG REFORMAS</t>
  </si>
  <si>
    <t xml:space="preserve">ok </t>
  </si>
  <si>
    <t xml:space="preserve">em aberto </t>
  </si>
  <si>
    <t>NICOM</t>
  </si>
  <si>
    <t xml:space="preserve">material inicial </t>
  </si>
  <si>
    <t>MERCADO LIVRE</t>
  </si>
  <si>
    <t xml:space="preserve">registros </t>
  </si>
  <si>
    <t>NOVA DE NOVO</t>
  </si>
  <si>
    <t xml:space="preserve">complemento de tijolinhos </t>
  </si>
  <si>
    <t xml:space="preserve">tijolinhos </t>
  </si>
  <si>
    <t>NOVA CONSTRUÇÃO</t>
  </si>
  <si>
    <t xml:space="preserve">material hidraulica </t>
  </si>
  <si>
    <t xml:space="preserve">LEROY MERLIN </t>
  </si>
  <si>
    <t xml:space="preserve">revestimentos </t>
  </si>
  <si>
    <t xml:space="preserve">MARACA MATERIAL </t>
  </si>
  <si>
    <t>eletrico e hidraulica</t>
  </si>
  <si>
    <t xml:space="preserve">material eletrico </t>
  </si>
  <si>
    <t xml:space="preserve">cabo plastchumbo </t>
  </si>
  <si>
    <t xml:space="preserve">SAUNA  </t>
  </si>
  <si>
    <t xml:space="preserve">sauna </t>
  </si>
  <si>
    <t>STM PORTAS</t>
  </si>
  <si>
    <t xml:space="preserve">portas ambientes  </t>
  </si>
  <si>
    <t>-</t>
  </si>
  <si>
    <t xml:space="preserve">CLIMA FRIO </t>
  </si>
  <si>
    <t xml:space="preserve">ar condicionado </t>
  </si>
  <si>
    <t xml:space="preserve">projetado </t>
  </si>
  <si>
    <t>PEDRAS GALICIA</t>
  </si>
  <si>
    <t xml:space="preserve">marmoraria </t>
  </si>
  <si>
    <t>MARACA MATERIAL</t>
  </si>
  <si>
    <t>WG MARCENARIA</t>
  </si>
  <si>
    <t xml:space="preserve">marcenaria </t>
  </si>
  <si>
    <t xml:space="preserve">bacias sanitárias  </t>
  </si>
  <si>
    <t>projetado</t>
  </si>
  <si>
    <t xml:space="preserve">SANTIL </t>
  </si>
  <si>
    <t xml:space="preserve">Luminarias </t>
  </si>
  <si>
    <t xml:space="preserve">Interruptores e Tomadas </t>
  </si>
  <si>
    <t xml:space="preserve">LEAO GLASS </t>
  </si>
  <si>
    <t xml:space="preserve">vidros e espelhos </t>
  </si>
  <si>
    <t xml:space="preserve">Fechaduras </t>
  </si>
  <si>
    <t xml:space="preserve">Contrato </t>
  </si>
  <si>
    <t xml:space="preserve">Extra Elétrica </t>
  </si>
  <si>
    <t>Total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</si>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</sst>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dd/MM/yyyy"/>
    <numFmt numFmtId="166" formatCode="[$R$ -416]#,##0.0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0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666666"/>
      </top>
      <bottom style="thin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Font="1" applyNumberFormat="1"/>
    <xf borderId="1" fillId="2" fontId="1" numFmtId="164" xfId="0" applyBorder="1" applyFill="1" applyFont="1" applyNumberFormat="1"/>
    <xf borderId="0" fillId="0" fontId="1" numFmtId="16" xfId="0" applyFont="1" applyNumberFormat="1"/>
    <xf borderId="0" fillId="0" fontId="2" numFmtId="0" xfId="0" applyFont="1"/>
    <xf borderId="0" fillId="0" fontId="1" numFmtId="164" xfId="0" applyFont="1" applyNumberFormat="1"/>
    <xf borderId="1" fillId="3" fontId="1" numFmtId="164" xfId="0" applyBorder="1" applyFill="1" applyFont="1" applyNumberFormat="1"/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4" fontId="1" numFmtId="164" xfId="0" applyBorder="1" applyFill="1" applyFont="1" applyNumberFormat="1"/>
    <xf borderId="1" fillId="2" fontId="1" numFmtId="16" xfId="0" applyBorder="1" applyFont="1" applyNumberFormat="1"/>
    <xf borderId="2" fillId="0" fontId="1" numFmtId="0" xfId="0" applyBorder="1" applyFont="1"/>
    <xf borderId="0" fillId="0" fontId="1" numFmtId="0" xfId="0" applyFont="1"/>
    <xf borderId="3" fillId="0" fontId="1" numFmtId="0" xfId="0" applyBorder="1" applyFont="1"/>
    <xf borderId="4" fillId="2" fontId="1" numFmtId="0" xfId="0" applyBorder="1" applyFont="1"/>
    <xf borderId="2" fillId="2" fontId="3" numFmtId="164" xfId="0" applyBorder="1" applyFont="1" applyNumberFormat="1"/>
    <xf borderId="2" fillId="2" fontId="3" numFmtId="0" xfId="0" applyBorder="1" applyFont="1"/>
    <xf borderId="2" fillId="2" fontId="1" numFmtId="0" xfId="0" applyBorder="1" applyFont="1"/>
    <xf borderId="4" fillId="2" fontId="3" numFmtId="0" xfId="0" applyBorder="1" applyFont="1"/>
    <xf borderId="1" fillId="2" fontId="3" numFmtId="14" xfId="0" applyBorder="1" applyFont="1" applyNumberFormat="1"/>
    <xf borderId="1" fillId="2" fontId="3" numFmtId="164" xfId="0" applyBorder="1" applyFont="1" applyNumberFormat="1"/>
    <xf borderId="1" fillId="2" fontId="3" numFmtId="0" xfId="0" applyBorder="1" applyFont="1"/>
    <xf borderId="5" fillId="0" fontId="1" numFmtId="0" xfId="0" applyBorder="1" applyFont="1"/>
    <xf borderId="1" fillId="4" fontId="3" numFmtId="14" xfId="0" applyBorder="1" applyFont="1" applyNumberFormat="1"/>
    <xf borderId="1" fillId="4" fontId="3" numFmtId="164" xfId="0" applyBorder="1" applyFont="1" applyNumberFormat="1"/>
    <xf borderId="1" fillId="4" fontId="3" numFmtId="0" xfId="0" applyBorder="1" applyFont="1"/>
    <xf borderId="1" fillId="5" fontId="3" numFmtId="14" xfId="0" applyBorder="1" applyFill="1" applyFont="1" applyNumberFormat="1"/>
    <xf borderId="1" fillId="5" fontId="3" numFmtId="164" xfId="0" applyBorder="1" applyFont="1" applyNumberFormat="1"/>
    <xf borderId="1" fillId="5" fontId="3" numFmtId="0" xfId="0" applyBorder="1" applyFont="1"/>
    <xf borderId="6" fillId="0" fontId="1" numFmtId="0" xfId="0" applyBorder="1" applyFont="1"/>
    <xf borderId="7" fillId="6" fontId="4" numFmtId="0" xfId="0" applyBorder="1" applyFill="1" applyFont="1"/>
    <xf borderId="7" fillId="6" fontId="4" numFmtId="0" xfId="0" applyBorder="1" applyFont="1"/>
    <xf borderId="8" fillId="6" fontId="4" numFmtId="0" xfId="0" applyBorder="1" applyFont="1"/>
    <xf borderId="8" fillId="6" fontId="4" numFmtId="0" xfId="0" applyBorder="1" applyFont="1"/>
    <xf borderId="8" fillId="6" fontId="4" numFmtId="164" xfId="0" applyBorder="1" applyFont="1" applyNumberFormat="1"/>
    <xf borderId="8" fillId="6" fontId="4" numFmtId="165" xfId="0" applyBorder="1" applyFont="1" applyNumberFormat="1"/>
    <xf borderId="0" fillId="0" fontId="4" numFmtId="166" xfId="0" applyAlignment="1" applyFont="1" applyNumberFormat="1">
      <alignment readingOrder="0"/>
    </xf>
    <xf borderId="0" fillId="0" fontId="4" numFmtId="0" xfId="0" applyFont="1"/>
    <xf borderId="8" fillId="6" fontId="4" numFmtId="165" xfId="0" applyAlignment="1" applyBorder="1" applyFont="1" applyNumberFormat="1">
      <alignment readingOrder="0"/>
    </xf>
    <xf borderId="8" fillId="6" fontId="4" numFmtId="14" xfId="0" applyBorder="1" applyFont="1" applyNumberFormat="1"/>
    <xf borderId="8" fillId="6" fontId="4" numFmtId="0" xfId="0" applyAlignment="1" applyBorder="1" applyFont="1">
      <alignment readingOrder="0"/>
    </xf>
    <xf borderId="8" fillId="6" fontId="4" numFmtId="166" xfId="0" applyAlignment="1" applyBorder="1" applyFont="1" applyNumberFormat="1">
      <alignment readingOrder="0"/>
    </xf>
    <xf borderId="8" fillId="6" fontId="4" numFmtId="166" xfId="0" applyBorder="1" applyFont="1" applyNumberFormat="1"/>
    <xf borderId="9" fillId="6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71"/>
    <col customWidth="1" min="6" max="6" width="13.29"/>
    <col customWidth="1" min="7" max="8" width="8.71"/>
    <col customWidth="1" min="9" max="9" width="9.86"/>
    <col customWidth="1" min="10" max="10" width="13.29"/>
    <col customWidth="1" min="1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E6" s="1" t="s">
        <v>0</v>
      </c>
    </row>
    <row r="7" ht="14.25" customHeight="1">
      <c r="E7" s="2">
        <v>45554.0</v>
      </c>
      <c r="F7" s="3">
        <v>39300.0</v>
      </c>
      <c r="H7" s="4">
        <v>45625.0</v>
      </c>
      <c r="I7" s="5" t="s">
        <v>1</v>
      </c>
      <c r="J7" s="6">
        <v>19972.3</v>
      </c>
    </row>
    <row r="8" ht="14.25" customHeight="1">
      <c r="E8" s="2">
        <v>45583.0</v>
      </c>
      <c r="F8" s="3">
        <v>13100.0</v>
      </c>
      <c r="H8" s="4">
        <v>45651.0</v>
      </c>
      <c r="I8" s="5" t="s">
        <v>1</v>
      </c>
      <c r="J8" s="6">
        <v>19972.3</v>
      </c>
    </row>
    <row r="9" ht="14.25" customHeight="1">
      <c r="E9" s="2">
        <v>45597.0</v>
      </c>
      <c r="F9" s="3">
        <v>13100.0</v>
      </c>
      <c r="H9" s="4">
        <v>45625.0</v>
      </c>
      <c r="I9" s="5" t="s">
        <v>2</v>
      </c>
      <c r="J9" s="6">
        <v>2401.86</v>
      </c>
    </row>
    <row r="10" ht="14.25" customHeight="1">
      <c r="E10" s="2">
        <v>45614.0</v>
      </c>
      <c r="F10" s="7">
        <v>13100.0</v>
      </c>
      <c r="H10" s="4">
        <v>45622.0</v>
      </c>
      <c r="I10" s="5" t="s">
        <v>3</v>
      </c>
      <c r="J10" s="6">
        <v>3785.9</v>
      </c>
    </row>
    <row r="11" ht="14.25" customHeight="1">
      <c r="E11" s="2">
        <v>45628.0</v>
      </c>
      <c r="F11" s="7">
        <v>13100.0</v>
      </c>
    </row>
    <row r="12" ht="14.25" customHeight="1">
      <c r="E12" s="8">
        <v>45793.0</v>
      </c>
      <c r="F12" s="9">
        <v>7200.0</v>
      </c>
      <c r="G12" s="2"/>
    </row>
    <row r="13" ht="14.25" customHeight="1">
      <c r="E13" s="8">
        <v>45828.0</v>
      </c>
      <c r="F13" s="9">
        <v>4000.0</v>
      </c>
      <c r="G13" s="2"/>
    </row>
    <row r="14" ht="14.25" customHeight="1">
      <c r="E14" s="2"/>
      <c r="F14" s="6">
        <f>SUM(F7:F13)</f>
        <v>102900</v>
      </c>
      <c r="G14" s="2"/>
    </row>
    <row r="15" ht="14.25" customHeight="1">
      <c r="E15" s="2"/>
      <c r="F15" s="2"/>
      <c r="G15" s="2"/>
    </row>
    <row r="16" ht="14.25" customHeight="1">
      <c r="E16" s="2">
        <v>45643.0</v>
      </c>
      <c r="F16" s="10">
        <v>13100.0</v>
      </c>
    </row>
    <row r="17" ht="14.25" customHeight="1">
      <c r="E17" s="2">
        <v>45350.0</v>
      </c>
      <c r="F17" s="10">
        <v>26200.0</v>
      </c>
    </row>
    <row r="18" ht="14.25" customHeight="1"/>
    <row r="19" ht="14.25" customHeight="1">
      <c r="J19" s="6">
        <f>SUM(J7:J10)</f>
        <v>46132.36</v>
      </c>
    </row>
    <row r="20" ht="14.25" customHeight="1"/>
    <row r="21" ht="14.25" customHeight="1"/>
    <row r="22" ht="14.25" customHeight="1"/>
    <row r="23" ht="14.25" customHeight="1">
      <c r="E23" s="1" t="s">
        <v>4</v>
      </c>
    </row>
    <row r="24" ht="14.25" customHeight="1">
      <c r="E24" s="11">
        <v>45503.0</v>
      </c>
      <c r="F24" s="3">
        <v>21985.36</v>
      </c>
    </row>
    <row r="25" ht="14.25" customHeight="1">
      <c r="E25" s="11">
        <v>45528.0</v>
      </c>
      <c r="F25" s="3">
        <v>1960.0</v>
      </c>
    </row>
    <row r="26" ht="14.25" customHeight="1">
      <c r="E26" s="11">
        <v>45538.0</v>
      </c>
      <c r="F26" s="3">
        <v>25305.0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2">
    <mergeCell ref="E6:F6"/>
    <mergeCell ref="E23:F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1.57"/>
    <col customWidth="1" min="3" max="3" width="15.57"/>
    <col customWidth="1" min="4" max="4" width="16.57"/>
    <col customWidth="1" min="5" max="5" width="25.0"/>
    <col customWidth="1" min="6" max="6" width="8.86"/>
    <col customWidth="1" hidden="1" min="7" max="7" width="8.86"/>
    <col customWidth="1" min="8" max="26" width="8.71"/>
  </cols>
  <sheetData>
    <row r="1" ht="19.5" customHeight="1">
      <c r="A1" s="12"/>
      <c r="B1" s="12" t="s">
        <v>5</v>
      </c>
      <c r="C1" s="12" t="s">
        <v>6</v>
      </c>
      <c r="D1" s="12" t="s">
        <v>7</v>
      </c>
      <c r="E1" s="12" t="s">
        <v>8</v>
      </c>
      <c r="F1" s="12"/>
      <c r="G1" s="13"/>
      <c r="H1" s="13"/>
      <c r="I1" s="13"/>
      <c r="J1" s="13"/>
    </row>
    <row r="2" ht="14.25" customHeight="1">
      <c r="A2" s="12"/>
      <c r="B2" s="14"/>
      <c r="C2" s="12"/>
      <c r="D2" s="12"/>
      <c r="E2" s="12"/>
      <c r="F2" s="12"/>
      <c r="G2" s="13"/>
      <c r="H2" s="13"/>
      <c r="I2" s="13"/>
      <c r="J2" s="13"/>
    </row>
    <row r="3" ht="14.25" hidden="1" customHeight="1">
      <c r="A3" s="12"/>
      <c r="B3" s="15"/>
      <c r="C3" s="16">
        <v>20400.0</v>
      </c>
      <c r="D3" s="17" t="s">
        <v>9</v>
      </c>
      <c r="E3" s="17" t="s">
        <v>10</v>
      </c>
      <c r="F3" s="18"/>
      <c r="G3" s="13"/>
      <c r="H3" s="13"/>
      <c r="I3" s="13"/>
      <c r="J3" s="13"/>
    </row>
    <row r="4" ht="14.25" hidden="1" customHeight="1">
      <c r="A4" s="12"/>
      <c r="B4" s="19"/>
      <c r="C4" s="16">
        <f>21985.36*2</f>
        <v>43970.72</v>
      </c>
      <c r="D4" s="16" t="s">
        <v>11</v>
      </c>
      <c r="E4" s="17" t="s">
        <v>12</v>
      </c>
      <c r="F4" s="17"/>
      <c r="G4" s="13"/>
      <c r="H4" s="13"/>
      <c r="I4" s="13"/>
      <c r="J4" s="13"/>
    </row>
    <row r="5" ht="14.25" customHeight="1">
      <c r="A5" s="12"/>
      <c r="B5" s="14"/>
      <c r="C5" s="12"/>
      <c r="D5" s="12"/>
      <c r="E5" s="12"/>
      <c r="F5" s="12"/>
      <c r="G5" s="13"/>
      <c r="H5" s="13"/>
      <c r="I5" s="13"/>
      <c r="J5" s="13"/>
    </row>
    <row r="6" ht="19.5" customHeight="1">
      <c r="A6" s="12"/>
      <c r="B6" s="20">
        <v>45554.0</v>
      </c>
      <c r="C6" s="21">
        <v>39300.0</v>
      </c>
      <c r="D6" s="21" t="s">
        <v>11</v>
      </c>
      <c r="E6" s="22"/>
      <c r="F6" s="22" t="s">
        <v>13</v>
      </c>
      <c r="G6" s="13"/>
      <c r="H6" s="13"/>
      <c r="I6" s="13"/>
      <c r="J6" s="13"/>
    </row>
    <row r="7" ht="19.5" customHeight="1">
      <c r="A7" s="12"/>
      <c r="B7" s="20">
        <v>45583.0</v>
      </c>
      <c r="C7" s="21">
        <v>13100.0</v>
      </c>
      <c r="D7" s="21" t="s">
        <v>14</v>
      </c>
      <c r="E7" s="22"/>
      <c r="F7" s="22" t="s">
        <v>15</v>
      </c>
      <c r="G7" s="13"/>
      <c r="H7" s="13"/>
      <c r="I7" s="13"/>
      <c r="J7" s="13"/>
    </row>
    <row r="8" ht="19.5" customHeight="1">
      <c r="A8" s="12"/>
      <c r="B8" s="20">
        <v>45597.0</v>
      </c>
      <c r="C8" s="21">
        <v>13100.0</v>
      </c>
      <c r="D8" s="21" t="s">
        <v>14</v>
      </c>
      <c r="E8" s="22"/>
      <c r="F8" s="22" t="s">
        <v>13</v>
      </c>
      <c r="G8" s="13"/>
      <c r="H8" s="23"/>
      <c r="I8" s="13"/>
      <c r="J8" s="13"/>
    </row>
    <row r="9" ht="19.5" customHeight="1">
      <c r="A9" s="12"/>
      <c r="B9" s="20">
        <v>45614.0</v>
      </c>
      <c r="C9" s="21">
        <v>13100.0</v>
      </c>
      <c r="D9" s="21" t="s">
        <v>14</v>
      </c>
      <c r="E9" s="22"/>
      <c r="F9" s="22" t="s">
        <v>13</v>
      </c>
      <c r="G9" s="13"/>
      <c r="H9" s="13"/>
      <c r="I9" s="13"/>
      <c r="J9" s="13"/>
    </row>
    <row r="10" ht="19.5" customHeight="1">
      <c r="A10" s="12"/>
      <c r="B10" s="20">
        <v>45628.0</v>
      </c>
      <c r="C10" s="21">
        <v>13100.0</v>
      </c>
      <c r="D10" s="21" t="s">
        <v>14</v>
      </c>
      <c r="E10" s="22"/>
      <c r="F10" s="22" t="s">
        <v>13</v>
      </c>
      <c r="G10" s="13"/>
      <c r="H10" s="13"/>
      <c r="I10" s="13"/>
      <c r="J10" s="13"/>
    </row>
    <row r="11" ht="19.5" customHeight="1">
      <c r="A11" s="12"/>
      <c r="B11" s="24">
        <v>45643.0</v>
      </c>
      <c r="C11" s="25">
        <v>13100.0</v>
      </c>
      <c r="D11" s="25" t="s">
        <v>11</v>
      </c>
      <c r="E11" s="26"/>
      <c r="F11" s="26" t="s">
        <v>16</v>
      </c>
      <c r="G11" s="13"/>
      <c r="H11" s="13"/>
      <c r="I11" s="13"/>
      <c r="J11" s="13"/>
    </row>
    <row r="12" ht="19.5" customHeight="1">
      <c r="A12" s="12"/>
      <c r="B12" s="24">
        <v>45716.0</v>
      </c>
      <c r="C12" s="25">
        <v>26200.0</v>
      </c>
      <c r="D12" s="25" t="s">
        <v>11</v>
      </c>
      <c r="E12" s="26"/>
      <c r="F12" s="26" t="s">
        <v>16</v>
      </c>
      <c r="G12" s="13"/>
      <c r="H12" s="13"/>
      <c r="I12" s="13"/>
      <c r="J12" s="13"/>
    </row>
    <row r="13" ht="19.5" customHeight="1">
      <c r="A13" s="12"/>
      <c r="B13" s="20">
        <v>45555.0</v>
      </c>
      <c r="C13" s="21">
        <v>6736.86</v>
      </c>
      <c r="D13" s="22" t="s">
        <v>17</v>
      </c>
      <c r="E13" s="22" t="s">
        <v>18</v>
      </c>
      <c r="F13" s="22" t="s">
        <v>13</v>
      </c>
      <c r="G13" s="13"/>
      <c r="H13" s="13"/>
      <c r="I13" s="13"/>
      <c r="J13" s="13"/>
    </row>
    <row r="14" ht="19.5" customHeight="1">
      <c r="A14" s="12"/>
      <c r="B14" s="20">
        <v>45560.0</v>
      </c>
      <c r="C14" s="21">
        <v>1517.0</v>
      </c>
      <c r="D14" s="22" t="s">
        <v>19</v>
      </c>
      <c r="E14" s="22" t="s">
        <v>20</v>
      </c>
      <c r="F14" s="22" t="s">
        <v>13</v>
      </c>
      <c r="G14" s="13"/>
      <c r="H14" s="13"/>
      <c r="I14" s="13"/>
      <c r="J14" s="13"/>
    </row>
    <row r="15" ht="19.5" customHeight="1">
      <c r="A15" s="12"/>
      <c r="B15" s="20">
        <v>45568.0</v>
      </c>
      <c r="C15" s="21">
        <v>211.0</v>
      </c>
      <c r="D15" s="22" t="s">
        <v>21</v>
      </c>
      <c r="E15" s="22" t="s">
        <v>22</v>
      </c>
      <c r="F15" s="22" t="s">
        <v>13</v>
      </c>
      <c r="G15" s="13"/>
      <c r="H15" s="13"/>
      <c r="I15" s="13"/>
      <c r="J15" s="13"/>
    </row>
    <row r="16" ht="19.5" customHeight="1">
      <c r="A16" s="12"/>
      <c r="B16" s="20">
        <v>45561.0</v>
      </c>
      <c r="C16" s="21">
        <v>3937.0</v>
      </c>
      <c r="D16" s="22" t="s">
        <v>21</v>
      </c>
      <c r="E16" s="22" t="s">
        <v>23</v>
      </c>
      <c r="F16" s="22" t="s">
        <v>13</v>
      </c>
      <c r="G16" s="13"/>
      <c r="H16" s="13"/>
      <c r="I16" s="13"/>
      <c r="J16" s="13"/>
    </row>
    <row r="17" ht="19.5" customHeight="1">
      <c r="A17" s="12"/>
      <c r="B17" s="20">
        <v>45582.0</v>
      </c>
      <c r="C17" s="21">
        <v>1636.1</v>
      </c>
      <c r="D17" s="22" t="s">
        <v>24</v>
      </c>
      <c r="E17" s="22" t="s">
        <v>25</v>
      </c>
      <c r="F17" s="22" t="s">
        <v>13</v>
      </c>
      <c r="G17" s="13"/>
      <c r="H17" s="13"/>
      <c r="I17" s="13"/>
      <c r="J17" s="13"/>
    </row>
    <row r="18" ht="19.5" customHeight="1">
      <c r="A18" s="12"/>
      <c r="B18" s="20">
        <v>45590.0</v>
      </c>
      <c r="C18" s="21">
        <v>21035.2</v>
      </c>
      <c r="D18" s="22" t="s">
        <v>26</v>
      </c>
      <c r="E18" s="22" t="s">
        <v>27</v>
      </c>
      <c r="F18" s="22" t="s">
        <v>13</v>
      </c>
      <c r="G18" s="13"/>
      <c r="H18" s="13"/>
      <c r="I18" s="13"/>
      <c r="J18" s="13"/>
    </row>
    <row r="19" ht="19.5" customHeight="1">
      <c r="A19" s="12"/>
      <c r="B19" s="20">
        <v>45628.0</v>
      </c>
      <c r="C19" s="21">
        <v>4800.0</v>
      </c>
      <c r="D19" s="22" t="s">
        <v>28</v>
      </c>
      <c r="E19" s="22" t="s">
        <v>29</v>
      </c>
      <c r="F19" s="22" t="s">
        <v>13</v>
      </c>
      <c r="G19" s="13"/>
      <c r="H19" s="13"/>
      <c r="I19" s="13"/>
      <c r="J19" s="13"/>
    </row>
    <row r="20" ht="19.5" customHeight="1">
      <c r="A20" s="12"/>
      <c r="B20" s="20">
        <v>45631.0</v>
      </c>
      <c r="C20" s="21">
        <v>1134.17</v>
      </c>
      <c r="D20" s="22" t="s">
        <v>17</v>
      </c>
      <c r="E20" s="22" t="s">
        <v>30</v>
      </c>
      <c r="F20" s="22" t="s">
        <v>13</v>
      </c>
      <c r="G20" s="13"/>
      <c r="H20" s="13"/>
      <c r="I20" s="13"/>
      <c r="J20" s="13"/>
    </row>
    <row r="21" ht="19.5" customHeight="1">
      <c r="A21" s="12"/>
      <c r="B21" s="20">
        <v>45646.0</v>
      </c>
      <c r="C21" s="21">
        <v>537.68</v>
      </c>
      <c r="D21" s="22" t="s">
        <v>19</v>
      </c>
      <c r="E21" s="22" t="s">
        <v>31</v>
      </c>
      <c r="F21" s="22" t="s">
        <v>13</v>
      </c>
      <c r="G21" s="13"/>
      <c r="H21" s="13"/>
      <c r="I21" s="13"/>
      <c r="J21" s="13"/>
    </row>
    <row r="22" ht="19.5" customHeight="1">
      <c r="A22" s="12"/>
      <c r="B22" s="20">
        <v>45646.0</v>
      </c>
      <c r="C22" s="21">
        <v>5250.0</v>
      </c>
      <c r="D22" s="22" t="s">
        <v>32</v>
      </c>
      <c r="E22" s="22" t="s">
        <v>33</v>
      </c>
      <c r="F22" s="22" t="s">
        <v>13</v>
      </c>
      <c r="G22" s="13"/>
      <c r="H22" s="13"/>
      <c r="I22" s="13"/>
      <c r="J22" s="13"/>
    </row>
    <row r="23" ht="19.5" customHeight="1">
      <c r="A23" s="12"/>
      <c r="B23" s="20">
        <v>45646.0</v>
      </c>
      <c r="C23" s="21">
        <v>4400.0</v>
      </c>
      <c r="D23" s="22" t="s">
        <v>34</v>
      </c>
      <c r="E23" s="22" t="s">
        <v>35</v>
      </c>
      <c r="F23" s="22" t="s">
        <v>13</v>
      </c>
      <c r="G23" s="13"/>
      <c r="H23" s="13"/>
      <c r="I23" s="13"/>
      <c r="J23" s="13"/>
    </row>
    <row r="24" ht="19.5" customHeight="1">
      <c r="A24" s="12"/>
      <c r="B24" s="20">
        <v>45650.0</v>
      </c>
      <c r="C24" s="21">
        <v>180.5</v>
      </c>
      <c r="D24" s="22" t="s">
        <v>24</v>
      </c>
      <c r="E24" s="22" t="s">
        <v>25</v>
      </c>
      <c r="F24" s="22" t="s">
        <v>13</v>
      </c>
      <c r="G24" s="13"/>
      <c r="H24" s="13"/>
      <c r="I24" s="13"/>
      <c r="J24" s="13"/>
    </row>
    <row r="25" ht="19.5" customHeight="1">
      <c r="A25" s="12"/>
      <c r="B25" s="27" t="s">
        <v>36</v>
      </c>
      <c r="C25" s="28">
        <v>37423.11</v>
      </c>
      <c r="D25" s="28" t="s">
        <v>37</v>
      </c>
      <c r="E25" s="29" t="s">
        <v>38</v>
      </c>
      <c r="F25" s="29" t="s">
        <v>39</v>
      </c>
      <c r="G25" s="13"/>
      <c r="H25" s="13"/>
      <c r="I25" s="13"/>
      <c r="J25" s="13"/>
    </row>
    <row r="26" ht="19.5" customHeight="1">
      <c r="A26" s="12"/>
      <c r="B26" s="27" t="s">
        <v>36</v>
      </c>
      <c r="C26" s="28">
        <v>38297.0</v>
      </c>
      <c r="D26" s="29" t="s">
        <v>40</v>
      </c>
      <c r="E26" s="29" t="s">
        <v>41</v>
      </c>
      <c r="F26" s="29" t="s">
        <v>39</v>
      </c>
      <c r="G26" s="13"/>
      <c r="H26" s="13"/>
      <c r="I26" s="13"/>
      <c r="J26" s="13"/>
    </row>
    <row r="27" ht="19.5" customHeight="1">
      <c r="A27" s="12"/>
      <c r="B27" s="27" t="s">
        <v>36</v>
      </c>
      <c r="C27" s="28">
        <v>2544.0</v>
      </c>
      <c r="D27" s="29" t="s">
        <v>42</v>
      </c>
      <c r="E27" s="29" t="s">
        <v>30</v>
      </c>
      <c r="F27" s="29" t="s">
        <v>39</v>
      </c>
      <c r="G27" s="13"/>
      <c r="H27" s="13"/>
      <c r="I27" s="13"/>
      <c r="J27" s="13"/>
    </row>
    <row r="28" ht="19.5" customHeight="1">
      <c r="A28" s="12"/>
      <c r="B28" s="27" t="s">
        <v>36</v>
      </c>
      <c r="C28" s="28">
        <v>200000.0</v>
      </c>
      <c r="D28" s="29" t="s">
        <v>43</v>
      </c>
      <c r="E28" s="29" t="s">
        <v>44</v>
      </c>
      <c r="F28" s="29" t="s">
        <v>39</v>
      </c>
      <c r="G28" s="13"/>
      <c r="H28" s="13"/>
      <c r="I28" s="13"/>
      <c r="J28" s="13"/>
    </row>
    <row r="29" ht="19.5" customHeight="1">
      <c r="A29" s="12"/>
      <c r="B29" s="29" t="s">
        <v>36</v>
      </c>
      <c r="C29" s="28">
        <v>6000.0</v>
      </c>
      <c r="D29" s="29" t="s">
        <v>36</v>
      </c>
      <c r="E29" s="29" t="s">
        <v>45</v>
      </c>
      <c r="F29" s="29" t="s">
        <v>46</v>
      </c>
      <c r="G29" s="13"/>
      <c r="H29" s="13"/>
      <c r="I29" s="13"/>
      <c r="J29" s="13"/>
    </row>
    <row r="30" ht="19.5" customHeight="1">
      <c r="A30" s="12"/>
      <c r="B30" s="29" t="s">
        <v>36</v>
      </c>
      <c r="C30" s="28">
        <v>11825.0</v>
      </c>
      <c r="D30" s="29" t="s">
        <v>47</v>
      </c>
      <c r="E30" s="29" t="s">
        <v>48</v>
      </c>
      <c r="F30" s="29" t="s">
        <v>46</v>
      </c>
      <c r="G30" s="13"/>
      <c r="H30" s="13"/>
      <c r="I30" s="13"/>
      <c r="J30" s="13"/>
    </row>
    <row r="31" ht="19.5" customHeight="1">
      <c r="A31" s="12"/>
      <c r="B31" s="29" t="s">
        <v>36</v>
      </c>
      <c r="C31" s="28">
        <v>4500.0</v>
      </c>
      <c r="D31" s="29" t="s">
        <v>36</v>
      </c>
      <c r="E31" s="29" t="s">
        <v>49</v>
      </c>
      <c r="F31" s="29" t="s">
        <v>46</v>
      </c>
      <c r="G31" s="13"/>
      <c r="H31" s="13"/>
      <c r="I31" s="13"/>
      <c r="J31" s="13"/>
    </row>
    <row r="32" ht="19.5" customHeight="1">
      <c r="A32" s="12"/>
      <c r="B32" s="29" t="s">
        <v>36</v>
      </c>
      <c r="C32" s="28">
        <v>22580.0</v>
      </c>
      <c r="D32" s="29" t="s">
        <v>50</v>
      </c>
      <c r="E32" s="29" t="s">
        <v>51</v>
      </c>
      <c r="F32" s="29" t="s">
        <v>46</v>
      </c>
      <c r="G32" s="13"/>
      <c r="H32" s="13"/>
      <c r="I32" s="13"/>
      <c r="J32" s="13"/>
    </row>
    <row r="33" ht="19.5" customHeight="1">
      <c r="A33" s="30"/>
      <c r="B33" s="22" t="s">
        <v>36</v>
      </c>
      <c r="C33" s="22"/>
      <c r="D33" s="22" t="s">
        <v>26</v>
      </c>
      <c r="E33" s="22" t="s">
        <v>52</v>
      </c>
      <c r="F33" s="22"/>
      <c r="G33" s="13"/>
      <c r="H33" s="13"/>
      <c r="I33" s="13"/>
      <c r="J33" s="13"/>
    </row>
    <row r="34" ht="19.5" customHeight="1">
      <c r="A34" s="12"/>
      <c r="B34" s="12"/>
      <c r="C34" s="12"/>
      <c r="D34" s="12"/>
      <c r="E34" s="12"/>
      <c r="F34" s="12"/>
      <c r="G34" s="12"/>
      <c r="H34" s="13"/>
      <c r="I34" s="13"/>
      <c r="J34" s="13"/>
    </row>
    <row r="35" ht="19.5" customHeight="1">
      <c r="A35" s="12"/>
      <c r="B35" s="12"/>
      <c r="C35" s="12"/>
      <c r="D35" s="12"/>
      <c r="E35" s="12"/>
      <c r="F35" s="12"/>
      <c r="G35" s="12"/>
      <c r="H35" s="13"/>
      <c r="I35" s="13"/>
      <c r="J35" s="13"/>
    </row>
    <row r="36" ht="19.5" customHeight="1"/>
    <row r="37" ht="19.5" customHeight="1"/>
    <row r="38" ht="19.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1.57"/>
    <col customWidth="1" min="3" max="3" width="15.57"/>
    <col customWidth="1" min="4" max="4" width="16.57"/>
    <col customWidth="1" min="5" max="5" width="25.0"/>
    <col customWidth="1" min="6" max="6" width="8.86"/>
    <col customWidth="1" hidden="1" min="7" max="7" width="8.86"/>
    <col customWidth="1" min="8" max="26" width="8.71"/>
  </cols>
  <sheetData>
    <row r="1" ht="15.0" customHeight="1">
      <c r="A1" s="31"/>
      <c r="B1" s="31" t="s">
        <v>5</v>
      </c>
      <c r="C1" s="31" t="s">
        <v>6</v>
      </c>
      <c r="D1" s="31" t="s">
        <v>7</v>
      </c>
      <c r="E1" s="31" t="s">
        <v>8</v>
      </c>
      <c r="F1" s="31"/>
      <c r="G1" s="31"/>
      <c r="H1" s="31"/>
      <c r="I1" s="31"/>
      <c r="J1" s="31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hidden="1" customHeight="1">
      <c r="A3" s="33"/>
      <c r="B3" s="33"/>
      <c r="C3" s="35">
        <v>20400.0</v>
      </c>
      <c r="D3" s="33" t="s">
        <v>9</v>
      </c>
      <c r="E3" s="33" t="s">
        <v>10</v>
      </c>
      <c r="F3" s="33"/>
      <c r="G3" s="33"/>
      <c r="H3" s="33"/>
      <c r="I3" s="33"/>
      <c r="J3" s="33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4.25" hidden="1" customHeight="1">
      <c r="A4" s="33"/>
      <c r="B4" s="33"/>
      <c r="C4" s="35">
        <f>21985.36*2</f>
        <v>43970.72</v>
      </c>
      <c r="D4" s="35" t="s">
        <v>11</v>
      </c>
      <c r="E4" s="33" t="s">
        <v>12</v>
      </c>
      <c r="F4" s="33"/>
      <c r="G4" s="33"/>
      <c r="H4" s="33"/>
      <c r="I4" s="33"/>
      <c r="J4" s="33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9.5" customHeight="1">
      <c r="A6" s="33"/>
      <c r="B6" s="36">
        <v>45554.0</v>
      </c>
      <c r="C6" s="35">
        <v>39300.0</v>
      </c>
      <c r="D6" s="35" t="s">
        <v>11</v>
      </c>
      <c r="E6" s="33"/>
      <c r="F6" s="33" t="s">
        <v>13</v>
      </c>
      <c r="G6" s="33"/>
      <c r="H6" s="33"/>
      <c r="I6" s="33"/>
      <c r="J6" s="33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9.5" customHeight="1">
      <c r="A7" s="33"/>
      <c r="B7" s="36">
        <v>45583.0</v>
      </c>
      <c r="C7" s="35">
        <v>13100.0</v>
      </c>
      <c r="D7" s="35" t="s">
        <v>14</v>
      </c>
      <c r="E7" s="33"/>
      <c r="F7" s="33" t="s">
        <v>15</v>
      </c>
      <c r="G7" s="33"/>
      <c r="H7" s="33"/>
      <c r="I7" s="33"/>
      <c r="J7" s="3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9.5" customHeight="1">
      <c r="A8" s="33"/>
      <c r="B8" s="36">
        <v>45597.0</v>
      </c>
      <c r="C8" s="35">
        <v>13100.0</v>
      </c>
      <c r="D8" s="35" t="s">
        <v>14</v>
      </c>
      <c r="E8" s="33"/>
      <c r="F8" s="33" t="s">
        <v>13</v>
      </c>
      <c r="G8" s="33"/>
      <c r="H8" s="33"/>
      <c r="I8" s="33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9.5" customHeight="1">
      <c r="A9" s="33"/>
      <c r="B9" s="36">
        <v>45614.0</v>
      </c>
      <c r="C9" s="35">
        <v>13100.0</v>
      </c>
      <c r="D9" s="35" t="s">
        <v>14</v>
      </c>
      <c r="E9" s="33"/>
      <c r="F9" s="33" t="s">
        <v>13</v>
      </c>
      <c r="G9" s="33"/>
      <c r="H9" s="33"/>
      <c r="I9" s="3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9.5" customHeight="1">
      <c r="A10" s="33"/>
      <c r="B10" s="36">
        <v>45628.0</v>
      </c>
      <c r="C10" s="35">
        <v>13100.0</v>
      </c>
      <c r="D10" s="35" t="s">
        <v>14</v>
      </c>
      <c r="E10" s="33"/>
      <c r="F10" s="33" t="s">
        <v>13</v>
      </c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9.5" customHeight="1">
      <c r="A11" s="33"/>
      <c r="B11" s="36">
        <v>45628.0</v>
      </c>
      <c r="C11" s="37">
        <v>5000.0</v>
      </c>
      <c r="D11" s="35" t="s">
        <v>14</v>
      </c>
      <c r="E11" s="33"/>
      <c r="F11" s="33" t="s">
        <v>13</v>
      </c>
      <c r="G11" s="38"/>
      <c r="H11" s="38"/>
      <c r="I11" s="33"/>
      <c r="J11" s="33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9.5" customHeight="1">
      <c r="A12" s="33"/>
      <c r="B12" s="39">
        <v>45793.0</v>
      </c>
      <c r="C12" s="37">
        <v>7200.0</v>
      </c>
      <c r="D12" s="35" t="s">
        <v>14</v>
      </c>
      <c r="E12" s="33"/>
      <c r="F12" s="33" t="s">
        <v>13</v>
      </c>
      <c r="G12" s="38"/>
      <c r="H12" s="38"/>
      <c r="I12" s="33"/>
      <c r="J12" s="33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9.5" customHeight="1">
      <c r="A13" s="34"/>
      <c r="B13" s="39">
        <v>45828.0</v>
      </c>
      <c r="C13" s="37">
        <v>4000.0</v>
      </c>
      <c r="D13" s="35" t="s">
        <v>14</v>
      </c>
      <c r="E13" s="33"/>
      <c r="F13" s="33" t="s">
        <v>13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9.5" customHeight="1">
      <c r="A14" s="34"/>
      <c r="B14" s="39">
        <v>45857.0</v>
      </c>
      <c r="C14" s="37">
        <v>4000.0</v>
      </c>
      <c r="D14" s="35" t="s">
        <v>14</v>
      </c>
      <c r="E14" s="33"/>
      <c r="F14" s="33" t="s">
        <v>13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9.5" customHeight="1">
      <c r="A15" s="34"/>
      <c r="B15" s="39">
        <v>45859.0</v>
      </c>
      <c r="C15" s="37">
        <v>4800.0</v>
      </c>
      <c r="D15" s="35" t="s">
        <v>14</v>
      </c>
      <c r="E15" s="33"/>
      <c r="F15" s="33" t="s">
        <v>13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9.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34"/>
      <c r="B17" s="40"/>
      <c r="C17" s="35">
        <f>SUM(C6:C15)</f>
        <v>116700</v>
      </c>
      <c r="D17" s="35"/>
      <c r="E17" s="33"/>
      <c r="F17" s="33"/>
      <c r="G17" s="33"/>
      <c r="H17" s="3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34"/>
      <c r="B19" s="41" t="s">
        <v>53</v>
      </c>
      <c r="C19" s="42">
        <v>131000.0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34"/>
      <c r="B20" s="41" t="s">
        <v>54</v>
      </c>
      <c r="C20" s="42">
        <v>2800.0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34"/>
      <c r="B21" s="41" t="s">
        <v>55</v>
      </c>
      <c r="C21" s="43">
        <f>SUM(C19:C20)</f>
        <v>133800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4.25" customHeight="1">
      <c r="A22" s="34"/>
      <c r="B22" s="41" t="s">
        <v>56</v>
      </c>
      <c r="C22" s="43">
        <f>C21-C17</f>
        <v>17100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4.2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4.2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4.2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4.2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4.2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4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4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4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4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4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4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William Almeida</dc:creator>
</cp:coreProperties>
</file>